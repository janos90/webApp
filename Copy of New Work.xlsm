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heki\Documents\GitHub\webApp\"/>
    </mc:Choice>
  </mc:AlternateContent>
  <xr:revisionPtr revIDLastSave="0" documentId="8_{5B0BD527-478E-4551-8ED5-6CC6838F1C5D}" xr6:coauthVersionLast="47" xr6:coauthVersionMax="47" xr10:uidLastSave="{00000000-0000-0000-0000-000000000000}"/>
  <bookViews>
    <workbookView xWindow="-28920" yWindow="-330" windowWidth="29040" windowHeight="15840" xr2:uid="{DF56BA1C-FDAC-452D-8533-FE87DFEA375C}"/>
  </bookViews>
  <sheets>
    <sheet name="Quantifier Work Req" sheetId="1" r:id="rId1"/>
    <sheet name="Cover" sheetId="2" r:id="rId2"/>
    <sheet name="Price Notifications" sheetId="15" r:id="rId3"/>
    <sheet name="Cover Letter" sheetId="5" r:id="rId4"/>
    <sheet name="Taupo Cover Letter" sheetId="14" r:id="rId5"/>
    <sheet name="Dayle PN" sheetId="9" r:id="rId6"/>
    <sheet name="Dayle Control" sheetId="3" r:id="rId7"/>
    <sheet name="NTML PN" sheetId="8" r:id="rId8"/>
    <sheet name="NTML Control" sheetId="4" r:id="rId9"/>
    <sheet name="T &amp; C" sheetId="12" r:id="rId10"/>
    <sheet name="Acceptance" sheetId="11" r:id="rId11"/>
    <sheet name="outsource" sheetId="6" r:id="rId12"/>
    <sheet name="GANTT" sheetId="13" r:id="rId13"/>
    <sheet name="Scope" sheetId="7" r:id="rId14"/>
    <sheet name="Print" sheetId="10" r:id="rId15"/>
  </sheets>
  <externalReferences>
    <externalReference r:id="rId16"/>
  </externalReferences>
  <definedNames>
    <definedName name="Cladding_Type">[1]Data!$A$14:$A$35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11" l="1"/>
  <c r="D11" i="5"/>
  <c r="H4" i="11"/>
  <c r="H2" i="11"/>
  <c r="B7" i="11"/>
  <c r="B2" i="7"/>
  <c r="B6" i="15"/>
  <c r="A80" i="15"/>
  <c r="C24" i="2"/>
  <c r="C10" i="14"/>
  <c r="C9" i="14"/>
  <c r="B8" i="14"/>
  <c r="D21" i="2"/>
  <c r="D23" i="2" s="1"/>
  <c r="D19" i="2"/>
  <c r="D18" i="2"/>
  <c r="D17" i="2"/>
  <c r="D16" i="2"/>
  <c r="B47" i="5"/>
  <c r="J42" i="5"/>
  <c r="B46" i="5" s="1"/>
  <c r="B12" i="5"/>
  <c r="D40" i="11" s="1"/>
  <c r="D10" i="5"/>
  <c r="I10" i="5"/>
  <c r="H93" i="12"/>
  <c r="J52" i="12"/>
  <c r="F52" i="12"/>
  <c r="F50" i="12"/>
  <c r="I49" i="12"/>
  <c r="F49" i="12"/>
  <c r="F3" i="12"/>
  <c r="F2" i="12"/>
  <c r="I2" i="12"/>
  <c r="J5" i="12"/>
  <c r="F5" i="12"/>
  <c r="H46" i="12"/>
  <c r="H41" i="9"/>
  <c r="H39" i="9"/>
  <c r="H37" i="9"/>
  <c r="H36" i="9"/>
  <c r="H35" i="9"/>
  <c r="H34" i="9"/>
  <c r="H33" i="9"/>
  <c r="H32" i="9"/>
  <c r="H31" i="9"/>
  <c r="H29" i="9"/>
  <c r="C5" i="3"/>
  <c r="C2" i="3"/>
  <c r="C4" i="3"/>
  <c r="D12" i="9"/>
  <c r="C3" i="3" s="1"/>
  <c r="H30" i="9"/>
  <c r="H28" i="9"/>
  <c r="H27" i="9"/>
  <c r="H26" i="9"/>
  <c r="D14" i="9"/>
  <c r="D16" i="9" s="1"/>
  <c r="I4" i="9"/>
  <c r="I6" i="9" s="1"/>
  <c r="I12" i="9"/>
  <c r="I10" i="9"/>
  <c r="D6" i="9"/>
  <c r="D8" i="9"/>
  <c r="D4" i="9"/>
  <c r="I8" i="9" s="1"/>
  <c r="C96" i="4"/>
  <c r="C39" i="4"/>
  <c r="C29" i="4"/>
  <c r="C19" i="4"/>
  <c r="N44" i="8"/>
  <c r="N41" i="8"/>
  <c r="N42" i="8"/>
  <c r="N43" i="8"/>
  <c r="N40" i="8"/>
  <c r="C17" i="4" s="1"/>
  <c r="D4" i="4"/>
  <c r="D3" i="4"/>
  <c r="I12" i="8"/>
  <c r="I6" i="8"/>
  <c r="I8" i="8" s="1"/>
  <c r="E5" i="4" s="1"/>
  <c r="D5" i="4" s="1"/>
  <c r="D16" i="8"/>
  <c r="D18" i="8" s="1"/>
  <c r="D8" i="8"/>
  <c r="I14" i="8" s="1"/>
  <c r="D10" i="8"/>
  <c r="D6" i="8"/>
  <c r="I10" i="8" s="1"/>
  <c r="R4" i="1"/>
</calcChain>
</file>

<file path=xl/sharedStrings.xml><?xml version="1.0" encoding="utf-8"?>
<sst xmlns="http://schemas.openxmlformats.org/spreadsheetml/2006/main" count="1019" uniqueCount="482">
  <si>
    <t>PROJECT NUMBER</t>
  </si>
  <si>
    <t xml:space="preserve">DATE </t>
  </si>
  <si>
    <t>BUILDER</t>
  </si>
  <si>
    <t>Estimate provided by</t>
  </si>
  <si>
    <t xml:space="preserve">email </t>
  </si>
  <si>
    <t>ESTIMATE REQUEST  FORM ITM Hillside</t>
  </si>
  <si>
    <t>Quote Ref</t>
  </si>
  <si>
    <t>Select Template</t>
  </si>
  <si>
    <t>Hillside Template</t>
  </si>
  <si>
    <t>Sales Rep</t>
  </si>
  <si>
    <t>Date Received</t>
  </si>
  <si>
    <t>Preliminary Plan</t>
  </si>
  <si>
    <t>Consented Plan</t>
  </si>
  <si>
    <t>Plan Version Number:</t>
  </si>
  <si>
    <t>Customer:</t>
  </si>
  <si>
    <t>Site Address:</t>
  </si>
  <si>
    <t xml:space="preserve">FOUNDATIONS </t>
  </si>
  <si>
    <t>Yes</t>
  </si>
  <si>
    <t>INSULATION</t>
  </si>
  <si>
    <t>No</t>
  </si>
  <si>
    <t xml:space="preserve">Reinforcing Steel </t>
  </si>
  <si>
    <t>Pod System</t>
  </si>
  <si>
    <t>Sub Floor</t>
  </si>
  <si>
    <t>Blocks</t>
  </si>
  <si>
    <t>Piles</t>
  </si>
  <si>
    <t>Mid Floor</t>
  </si>
  <si>
    <t>Concrete</t>
  </si>
  <si>
    <t>Walls</t>
  </si>
  <si>
    <t>Ceiling</t>
  </si>
  <si>
    <t xml:space="preserve"> </t>
  </si>
  <si>
    <t xml:space="preserve">TIMBER FLOOR </t>
  </si>
  <si>
    <t>Accoustic</t>
  </si>
  <si>
    <t>Bearers</t>
  </si>
  <si>
    <t>Garage Walls/Ceiling (Included)</t>
  </si>
  <si>
    <t>Mahia Template</t>
  </si>
  <si>
    <t xml:space="preserve">Joists </t>
  </si>
  <si>
    <t>Installation Required</t>
  </si>
  <si>
    <t>Matakana Template</t>
  </si>
  <si>
    <t>Flooring</t>
  </si>
  <si>
    <t>Wet Area Flooring</t>
  </si>
  <si>
    <t>INTERIOR LININGS</t>
  </si>
  <si>
    <t>Tile &amp; Slate Underlay</t>
  </si>
  <si>
    <t>Wall</t>
  </si>
  <si>
    <t>Wet Wall</t>
  </si>
  <si>
    <t>Wet Ceiling</t>
  </si>
  <si>
    <t>WALL FRAMING</t>
  </si>
  <si>
    <t>Bathroom</t>
  </si>
  <si>
    <t>Ensuite</t>
  </si>
  <si>
    <t>Supplied by Prenailer - Do not allow</t>
  </si>
  <si>
    <t>WC</t>
  </si>
  <si>
    <t>Laundry</t>
  </si>
  <si>
    <t>Other</t>
  </si>
  <si>
    <t>Beams</t>
  </si>
  <si>
    <t>INTERIOR DOORS</t>
  </si>
  <si>
    <t>Doors</t>
  </si>
  <si>
    <t>ROOF FRAMING</t>
  </si>
  <si>
    <t>Door Hardware</t>
  </si>
  <si>
    <t>BOR Pack (as agreed)</t>
  </si>
  <si>
    <t>Purlins Only</t>
  </si>
  <si>
    <t>INTERIOR FINISHING</t>
  </si>
  <si>
    <t>Ply to Membrane Roof</t>
  </si>
  <si>
    <t>MDF</t>
  </si>
  <si>
    <t>F/J</t>
  </si>
  <si>
    <t>Clears</t>
  </si>
  <si>
    <t>Ply to Shingle Roof</t>
  </si>
  <si>
    <t>Timber Cornice</t>
  </si>
  <si>
    <t>Gib Cove</t>
  </si>
  <si>
    <t>Skirting</t>
  </si>
  <si>
    <t>Architrave</t>
  </si>
  <si>
    <t>EXTERIOR FINISHING</t>
  </si>
  <si>
    <t>Wet Areas</t>
  </si>
  <si>
    <t>Shelving</t>
  </si>
  <si>
    <t>Building Wrap</t>
  </si>
  <si>
    <t>or</t>
  </si>
  <si>
    <t>RAB</t>
  </si>
  <si>
    <t>Timber Fascia</t>
  </si>
  <si>
    <t>Metal Fascia by Others</t>
  </si>
  <si>
    <t>LANDSCAPING</t>
  </si>
  <si>
    <t>PVC Spouting</t>
  </si>
  <si>
    <t>Soffit</t>
  </si>
  <si>
    <t>Concrete Patios</t>
  </si>
  <si>
    <t>Eaves Mould</t>
  </si>
  <si>
    <t>Ply Deck</t>
  </si>
  <si>
    <t>Decking</t>
  </si>
  <si>
    <t>CLADDING</t>
  </si>
  <si>
    <t>Carport</t>
  </si>
  <si>
    <t>Brick</t>
  </si>
  <si>
    <t>Qty Per SQM</t>
  </si>
  <si>
    <t>Pergola</t>
  </si>
  <si>
    <t>Sheet</t>
  </si>
  <si>
    <t>Timber Retaining Wall</t>
  </si>
  <si>
    <t>W/Board</t>
  </si>
  <si>
    <t>Stone Cladding Substrate</t>
  </si>
  <si>
    <t xml:space="preserve"> ADDITIONAL INFORMATION</t>
  </si>
  <si>
    <t>Builders Signature:</t>
  </si>
  <si>
    <t>Reps Signature:</t>
  </si>
  <si>
    <t>PLEASE NOTE: INFORMATION GIVEN ON THIS FORM SUPERCEDES THAT ON THE PLAN.</t>
  </si>
  <si>
    <t>DAYLES CONTROL DOCUMENT - Precut Prenail Frames, Precut Roof Pack &amp; Floors</t>
  </si>
  <si>
    <t>CUSTOMER:</t>
  </si>
  <si>
    <t>NTML</t>
  </si>
  <si>
    <t>BRANCH:</t>
  </si>
  <si>
    <t>DATE:</t>
  </si>
  <si>
    <t>WALL FRAMING:</t>
  </si>
  <si>
    <t>INCL</t>
  </si>
  <si>
    <t>Notes</t>
  </si>
  <si>
    <t>Curved Frames</t>
  </si>
  <si>
    <t>N</t>
  </si>
  <si>
    <t>Parapet Frames</t>
  </si>
  <si>
    <t>Y</t>
  </si>
  <si>
    <t>External Infill Framing to Addition</t>
  </si>
  <si>
    <t>Internal Infill Framing to Addition</t>
  </si>
  <si>
    <t xml:space="preserve">Chimney framing </t>
  </si>
  <si>
    <t>if detailed clearly with dimensions</t>
  </si>
  <si>
    <t>Ply braces</t>
  </si>
  <si>
    <t>Chimney Ply braces</t>
  </si>
  <si>
    <t>Bolted Flitch Beams</t>
  </si>
  <si>
    <t>LVL Beams</t>
  </si>
  <si>
    <t>LVL Lintels</t>
  </si>
  <si>
    <t>Glulam Beams</t>
  </si>
  <si>
    <t>Glulam Lintels</t>
  </si>
  <si>
    <t>Porch Posts</t>
  </si>
  <si>
    <t>Only supplied if supporting roof structure</t>
  </si>
  <si>
    <t>Verandah Posts</t>
  </si>
  <si>
    <t>Pergola Posts</t>
  </si>
  <si>
    <t>Framed Columns</t>
  </si>
  <si>
    <t>Loose timber to Columns</t>
  </si>
  <si>
    <t>Enclosed balustrades interior</t>
  </si>
  <si>
    <t>If details supplied and dimensioned</t>
  </si>
  <si>
    <t>Enclosed balustrades exterior</t>
  </si>
  <si>
    <t>Angle braces</t>
  </si>
  <si>
    <t>Stud to plate and lintel fixings etc</t>
  </si>
  <si>
    <t>Top plate connectors</t>
  </si>
  <si>
    <t>Plateloks</t>
  </si>
  <si>
    <t>DPC</t>
  </si>
  <si>
    <t>CEILING FRAMING</t>
  </si>
  <si>
    <t>Ceiling Nogs/Dwangs</t>
  </si>
  <si>
    <t>Ceiling Joists</t>
  </si>
  <si>
    <t>Dragon Ties</t>
  </si>
  <si>
    <t>Top plates/Capping (150x40)</t>
  </si>
  <si>
    <t>Double Top plate</t>
  </si>
  <si>
    <t>Timber Ceiling Strapping/Battens</t>
  </si>
  <si>
    <t>Metal Ceiling Battens</t>
  </si>
  <si>
    <t>Rafters</t>
  </si>
  <si>
    <t>Rafters - LVL's</t>
  </si>
  <si>
    <t>Rafters - Glulams</t>
  </si>
  <si>
    <t>Rafters - Exotic Species ie not pine</t>
  </si>
  <si>
    <t>Rafter - Extensions</t>
  </si>
  <si>
    <t>Rafters - Pergola</t>
  </si>
  <si>
    <t>Timber to Bolted Trusses</t>
  </si>
  <si>
    <t>Dummy Rafters</t>
  </si>
  <si>
    <t>Verandah Rafters</t>
  </si>
  <si>
    <t>Jack Rafters (for Trussed Roof)</t>
  </si>
  <si>
    <t>Purlins</t>
  </si>
  <si>
    <t>Purlins - SL's ie between rafters, girts, portals etc</t>
  </si>
  <si>
    <t>Framing to Flat Roofs - ie purlins, nogs, rafters etc</t>
  </si>
  <si>
    <t>Furrings/Rippings to Flat Roofs</t>
  </si>
  <si>
    <t>Ridge beams</t>
  </si>
  <si>
    <t>Roof Beams</t>
  </si>
  <si>
    <t>Steel Beam Packers</t>
  </si>
  <si>
    <t>Hip Boards</t>
  </si>
  <si>
    <t>if shown on plans</t>
  </si>
  <si>
    <t>Valley Boards</t>
  </si>
  <si>
    <t>Verandah/Porch Beams - Exposed</t>
  </si>
  <si>
    <t>Only supplied if supporting roof structure ( ie trusses)</t>
  </si>
  <si>
    <t>Pergola Beams</t>
  </si>
  <si>
    <t>Beams in Soffit space</t>
  </si>
  <si>
    <t>Internal Gutter Framing</t>
  </si>
  <si>
    <t>Parapet Framing</t>
  </si>
  <si>
    <t>Fly Rafters</t>
  </si>
  <si>
    <t>Gable Outriggers</t>
  </si>
  <si>
    <t>Gable Soffit Nogs</t>
  </si>
  <si>
    <t>Soffit Ribbon plate</t>
  </si>
  <si>
    <t>70 x 35</t>
  </si>
  <si>
    <t>Soffit bearers/sprockets and nogs</t>
  </si>
  <si>
    <t>Soffit Framing to verandahs and porchs</t>
  </si>
  <si>
    <t>Truss Runners</t>
  </si>
  <si>
    <t>if required</t>
  </si>
  <si>
    <t>Metal Strap Bracing</t>
  </si>
  <si>
    <t>Only If shown on plans at pricing</t>
  </si>
  <si>
    <t>Bottom chord bracing</t>
  </si>
  <si>
    <t>y</t>
  </si>
  <si>
    <t>Roof space bracing</t>
  </si>
  <si>
    <t>Truss Bottom Chord Bracing - (Rondo)</t>
  </si>
  <si>
    <t>Purlins Screws</t>
  </si>
  <si>
    <t>Purlin Z Nails</t>
  </si>
  <si>
    <t>Outrigger Fixings</t>
  </si>
  <si>
    <t>Truss Fixings</t>
  </si>
  <si>
    <t>Rafter Fixings</t>
  </si>
  <si>
    <t>LVL Rafter Fixings</t>
  </si>
  <si>
    <t xml:space="preserve">SUB FLOOR </t>
  </si>
  <si>
    <t>Joists</t>
  </si>
  <si>
    <t>Beam Packers</t>
  </si>
  <si>
    <t>Gluelam Beams</t>
  </si>
  <si>
    <t>Flitch Beams</t>
  </si>
  <si>
    <t>Flooring Hardware</t>
  </si>
  <si>
    <t>Balance of Hardware</t>
  </si>
  <si>
    <t>Base Cladding</t>
  </si>
  <si>
    <t>MID FLOOR</t>
  </si>
  <si>
    <t>NTML CONTROL DOCUMENT - Precut Prenail Frames, Precut Roof Pack &amp; Floors</t>
  </si>
  <si>
    <t>HiAndDri</t>
  </si>
  <si>
    <t>Truss Ruuners</t>
  </si>
  <si>
    <t>Date</t>
  </si>
  <si>
    <t>Customer</t>
  </si>
  <si>
    <t>Foundations</t>
  </si>
  <si>
    <t>Supplier</t>
  </si>
  <si>
    <t>RFL</t>
  </si>
  <si>
    <t>United</t>
  </si>
  <si>
    <t>Summit</t>
  </si>
  <si>
    <t>Wyatt</t>
  </si>
  <si>
    <t>Abodo</t>
  </si>
  <si>
    <t>JSC</t>
  </si>
  <si>
    <t xml:space="preserve">Insulation </t>
  </si>
  <si>
    <t>Des</t>
  </si>
  <si>
    <t xml:space="preserve">Foundations </t>
  </si>
  <si>
    <t>Insulation</t>
  </si>
  <si>
    <t>Timber Floor</t>
  </si>
  <si>
    <t>Wall Framing</t>
  </si>
  <si>
    <t>Interior Line</t>
  </si>
  <si>
    <t>Inter Door</t>
  </si>
  <si>
    <t>Roof Frame</t>
  </si>
  <si>
    <t>Interior Finish</t>
  </si>
  <si>
    <t>Ext Finish</t>
  </si>
  <si>
    <t>Landscape</t>
  </si>
  <si>
    <t>Cladding</t>
  </si>
  <si>
    <t>Rein Steel</t>
  </si>
  <si>
    <t>Pod</t>
  </si>
  <si>
    <t>Aaron</t>
  </si>
  <si>
    <t>John</t>
  </si>
  <si>
    <t>Alex</t>
  </si>
  <si>
    <t>Choose Rep</t>
  </si>
  <si>
    <t>Client Project Information Sheet</t>
  </si>
  <si>
    <t>Extra specifications to supersede anything stated on the plans or specifications</t>
  </si>
  <si>
    <t>Wall Framing Treatment</t>
  </si>
  <si>
    <t>Wind Zone</t>
  </si>
  <si>
    <t>Roof Framing Treatment</t>
  </si>
  <si>
    <t>H1.2</t>
  </si>
  <si>
    <t>H3.2</t>
  </si>
  <si>
    <t>H3.2 B/Plate</t>
  </si>
  <si>
    <t>Y/N</t>
  </si>
  <si>
    <t>Contact EMAIL</t>
  </si>
  <si>
    <t>Phone Number</t>
  </si>
  <si>
    <t>Interior</t>
  </si>
  <si>
    <t>Exterior</t>
  </si>
  <si>
    <t>Client Name</t>
  </si>
  <si>
    <t>Job Name</t>
  </si>
  <si>
    <t>Site Address</t>
  </si>
  <si>
    <t>Received By</t>
  </si>
  <si>
    <t>Sales Person</t>
  </si>
  <si>
    <t>Date received</t>
  </si>
  <si>
    <t>Date Required</t>
  </si>
  <si>
    <t>Contact</t>
  </si>
  <si>
    <t>Email</t>
  </si>
  <si>
    <t>Quote Reference</t>
  </si>
  <si>
    <t>Trusses</t>
  </si>
  <si>
    <t>P/N Wall frames</t>
  </si>
  <si>
    <t>Precut Rafters</t>
  </si>
  <si>
    <t>Precut Balance of roof</t>
  </si>
  <si>
    <t>"Frame &amp; Truss" Price Request to: estimate@ntml.co.nz</t>
  </si>
  <si>
    <t>Fill if requested</t>
  </si>
  <si>
    <t>Loose if requested</t>
  </si>
  <si>
    <t>Fill if requested, eg Studlok</t>
  </si>
  <si>
    <t>Fill if requested for midfloors / roof etc</t>
  </si>
  <si>
    <t>Double top plate loose</t>
  </si>
  <si>
    <t xml:space="preserve">Studlok / lintel lok  </t>
  </si>
  <si>
    <t xml:space="preserve"> eg in Mid floor / roof, lintels as per prenail/ engineer</t>
  </si>
  <si>
    <t>double top plates will come nailed by default</t>
  </si>
  <si>
    <t>premium service, additional charges apply</t>
  </si>
  <si>
    <t>Sales Person/ REP</t>
  </si>
  <si>
    <t>Prenail Frames</t>
  </si>
  <si>
    <t>Trusses / Balance of Roof / Cut Roof</t>
  </si>
  <si>
    <t>Treatment</t>
  </si>
  <si>
    <t>Bottom Plates</t>
  </si>
  <si>
    <t>Comments</t>
  </si>
  <si>
    <t>Mid Floors</t>
  </si>
  <si>
    <t>#Note</t>
  </si>
  <si>
    <t>if required (Builder to confirm if on clips at sign up)</t>
  </si>
  <si>
    <t>Branch</t>
  </si>
  <si>
    <t>Job Ref:</t>
  </si>
  <si>
    <t>Required</t>
  </si>
  <si>
    <t>Sub Floors</t>
  </si>
  <si>
    <t>on request only, must be detailed</t>
  </si>
  <si>
    <t>select</t>
  </si>
  <si>
    <t>Dayles prenail Estimate Request Sheet</t>
  </si>
  <si>
    <t>Quantifier Work Request</t>
  </si>
  <si>
    <t xml:space="preserve">Cover </t>
  </si>
  <si>
    <t>Dayles Control Sheet</t>
  </si>
  <si>
    <t>eg. Std supply with Prenail</t>
  </si>
  <si>
    <t>NTML Prenail QR sheet</t>
  </si>
  <si>
    <t>Dayles Prenail QR Sheet</t>
  </si>
  <si>
    <t>NTML Control Sheet</t>
  </si>
  <si>
    <t>Cover letter</t>
  </si>
  <si>
    <t>Scope</t>
  </si>
  <si>
    <t>Acceptance</t>
  </si>
  <si>
    <t>T&amp;C</t>
  </si>
  <si>
    <t>Tags</t>
  </si>
  <si>
    <t>Outsourcing</t>
  </si>
  <si>
    <t>tick</t>
  </si>
  <si>
    <t xml:space="preserve">Quote reference </t>
  </si>
  <si>
    <t>Job Address</t>
  </si>
  <si>
    <t>`</t>
  </si>
  <si>
    <t>Thank you for the opportunity to price the above project.</t>
  </si>
  <si>
    <t>Please find attached our estimate of materials and pricing for the above job as interpreted from information</t>
  </si>
  <si>
    <t>provided.</t>
  </si>
  <si>
    <t>As you are aware the current Supply Chain of Materials is struggling with both current demand and the Covid</t>
  </si>
  <si>
    <t>World Wide impact on manufacturing and shipping. This is causing extra delays on materials.</t>
  </si>
  <si>
    <t>To negate any potential supply holdups we encourage, once contracts to build are signed, that you sit down</t>
  </si>
  <si>
    <t>with your Account Manager and consider ordering materials straight away that may have extended lead times.</t>
  </si>
  <si>
    <t>Please note in these instances, goods will be invoiced upon arrival into our stores.</t>
  </si>
  <si>
    <t>Please read and understand the following terms and conditions:</t>
  </si>
  <si>
    <t>The customer is responsible for checking the quantities against the plans provided prior to presenting the</t>
  </si>
  <si>
    <t>quote to the client or ordering any products.</t>
  </si>
  <si>
    <t>accordingly.</t>
  </si>
  <si>
    <t>LVL pricing is based on one order, one delivery for the total quantity listed. Part or repeat orders will incur</t>
  </si>
  <si>
    <t>both freight and handling surcharges imposed on us by suppliers</t>
  </si>
  <si>
    <t>Kind regards</t>
  </si>
  <si>
    <t>Please read the attached tags provided. Do not hesitate to ask any questions if need be.</t>
  </si>
  <si>
    <t xml:space="preserve">Job Address </t>
  </si>
  <si>
    <t>This schedule is prepared to provide an estimate of the quantities of Materials.</t>
  </si>
  <si>
    <t>This schedule of materials is not a professional Quantity Surveying Service. The quantities are indicative only.</t>
  </si>
  <si>
    <t>Please note all products as described, if a different product is required please advise, and we can re-price</t>
  </si>
  <si>
    <t>Prices are valid for 30 Days. Thereafter any industry wide price increases will be applied to our pricing. All</t>
  </si>
  <si>
    <t>Gib Wide line does incur a price surcharge over standard Gib board.</t>
  </si>
  <si>
    <t>Door Hardware unless otherwise stated is allowed as Windsor Brass – Astron Series Only</t>
  </si>
  <si>
    <r>
      <t xml:space="preserve">Minimum </t>
    </r>
    <r>
      <rPr>
        <sz val="8"/>
        <color rgb="FFFF0000"/>
        <rFont val="Calibri"/>
        <family val="2"/>
        <scheme val="minor"/>
      </rPr>
      <t>$60.00</t>
    </r>
    <r>
      <rPr>
        <sz val="8"/>
        <color theme="1"/>
        <rFont val="Calibri"/>
        <family val="2"/>
        <scheme val="minor"/>
      </rPr>
      <t xml:space="preserve"> Freight Charge will apply on All Deliveries</t>
    </r>
  </si>
  <si>
    <t>Cedar uncoated unless stated</t>
  </si>
  <si>
    <t>*</t>
  </si>
  <si>
    <r>
      <t xml:space="preserve">Priced ex yard </t>
    </r>
    <r>
      <rPr>
        <sz val="8"/>
        <color rgb="FFFF0000"/>
        <rFont val="Calibri"/>
        <family val="2"/>
        <scheme val="minor"/>
      </rPr>
      <t>131 Diana Drive</t>
    </r>
    <r>
      <rPr>
        <sz val="8"/>
        <color theme="1"/>
        <rFont val="Calibri"/>
        <family val="2"/>
        <scheme val="minor"/>
      </rPr>
      <t>, unless otherwise stipulated</t>
    </r>
  </si>
  <si>
    <t>Thank you for the opportunity to price your project. If you have any queries please don’t hesitate to contact</t>
  </si>
  <si>
    <t>Material Estimate for:</t>
  </si>
  <si>
    <t>Service</t>
  </si>
  <si>
    <t>Contact2</t>
  </si>
  <si>
    <t>notes / QS service available</t>
  </si>
  <si>
    <t>Prenail</t>
  </si>
  <si>
    <t>Turangi ITM</t>
  </si>
  <si>
    <t>prenail@turangiitm.co.nz</t>
  </si>
  <si>
    <t>Chris</t>
  </si>
  <si>
    <t>Turangi</t>
  </si>
  <si>
    <t>yes</t>
  </si>
  <si>
    <t>estimate@ntml.co.nz</t>
  </si>
  <si>
    <t>Matakana</t>
  </si>
  <si>
    <t>Dayles</t>
  </si>
  <si>
    <t>plans@dayleitm.co.nz</t>
  </si>
  <si>
    <t>Josh</t>
  </si>
  <si>
    <t>Hillside</t>
  </si>
  <si>
    <t>Rebar</t>
  </si>
  <si>
    <t>akl.cutandbend@unitedsteel.co.nz</t>
  </si>
  <si>
    <t>QS@summitsteel.co.nz</t>
  </si>
  <si>
    <t>Internal Doors</t>
  </si>
  <si>
    <t>Mahurangi Joinery</t>
  </si>
  <si>
    <t>info@mahurangijoinery.co.nz</t>
  </si>
  <si>
    <t>Doorways</t>
  </si>
  <si>
    <t>trish.shirley@doorways.co.nz</t>
  </si>
  <si>
    <t>Elite Doors</t>
  </si>
  <si>
    <t>sales@elitedoors.net.nz</t>
  </si>
  <si>
    <t>Mahia</t>
  </si>
  <si>
    <t>Joinery</t>
  </si>
  <si>
    <t>Vision</t>
  </si>
  <si>
    <t>ash@visionwindows.co.nz</t>
  </si>
  <si>
    <t>Ash</t>
  </si>
  <si>
    <t>Garage Doors</t>
  </si>
  <si>
    <t>Dominator Garage Doors</t>
  </si>
  <si>
    <t>sales@domnorthshore.co.nz</t>
  </si>
  <si>
    <t>Pinkfit</t>
  </si>
  <si>
    <t>John.Coogan@pinkfit.co.nz</t>
  </si>
  <si>
    <t>Natural Insulation</t>
  </si>
  <si>
    <t>jon@naturalinsulation.co.nz</t>
  </si>
  <si>
    <t>ADL Insulation</t>
  </si>
  <si>
    <t>David.morris@adlgroup.co.nz</t>
  </si>
  <si>
    <t>Allwin Struct Steel</t>
  </si>
  <si>
    <t>sales@allwin.co.nz</t>
  </si>
  <si>
    <t>Rosenfield Kidson cedar</t>
  </si>
  <si>
    <t>dan@rosenfeldkidson.co.nz</t>
  </si>
  <si>
    <t>Sarah.Buckley@abodo.co.nz</t>
  </si>
  <si>
    <t>lewis.marshall@abodo.co.nz</t>
  </si>
  <si>
    <t>not anymore</t>
  </si>
  <si>
    <t>seanh@jsctimber.co.nz</t>
  </si>
  <si>
    <t>tick?</t>
  </si>
  <si>
    <t>specific to branch</t>
  </si>
  <si>
    <t>Thank you for the opportunity to quote supply, please note there is a quantifier tag sheet attached</t>
  </si>
  <si>
    <t>relating to the quantities provided whilst every endeavour has been made to form an accurate</t>
  </si>
  <si>
    <t>material list it should only be considered an Estimate.</t>
  </si>
  <si>
    <t>Optional supply price included for concrete through Firth, please note prices may differ from</t>
  </si>
  <si>
    <t>Concrete suppliers No Allowance for additives or small loads.</t>
  </si>
  <si>
    <t>Pre‐nail Frames, Balance of Roof and Truss pricing is included in the main quote please read</t>
  </si>
  <si>
    <t>attached summary page for further notes….</t>
  </si>
  <si>
    <t>Prenail Frames and Trusses delivered to site by an external contractor. Site access and H&amp;S must</t>
  </si>
  <si>
    <t>meet their requirements to unload. Should a crane be required this will be at the expense of the</t>
  </si>
  <si>
    <t>building contractor or company.</t>
  </si>
  <si>
    <t>Lead time for pre‐nail frames and Trusses is around 8 weeks. ITM Must receive the following to</t>
  </si>
  <si>
    <t>consider a job booked in</t>
  </si>
  <si>
    <t>Filled out MRF Form (Attached)</t>
  </si>
  <si>
    <t>Consented Stamped Building Plans</t>
  </si>
  <si>
    <t>DXF File (supplied via the Architect)</t>
  </si>
  <si>
    <t>Insulation Final R Values and areas of install to be confirmed before ordering. Insulation install price</t>
  </si>
  <si>
    <t>based on m2 of bales allowed for in the estimate.</t>
  </si>
  <si>
    <t>Note additional Install charges may apply such as travel, technical install or slower than normal</t>
  </si>
  <si>
    <t>install for example over standard height frames.</t>
  </si>
  <si>
    <t>Address:</t>
  </si>
  <si>
    <t>Job Ref.:</t>
  </si>
  <si>
    <t>#Change logo stamp when branch changes</t>
  </si>
  <si>
    <t>Logo Stamp here</t>
  </si>
  <si>
    <t>Regards</t>
  </si>
  <si>
    <t xml:space="preserve">MRF? PN form? </t>
  </si>
  <si>
    <t>By others</t>
  </si>
  <si>
    <t>link to selection in Request form</t>
  </si>
  <si>
    <t>Floor Framing</t>
  </si>
  <si>
    <t>Status</t>
  </si>
  <si>
    <t>Roof Framing</t>
  </si>
  <si>
    <t>Exterior Mouldings</t>
  </si>
  <si>
    <t>Interior Linings</t>
  </si>
  <si>
    <t>Interior Doors</t>
  </si>
  <si>
    <t>Landscaping</t>
  </si>
  <si>
    <t>Special Notes</t>
  </si>
  <si>
    <t>United Steel</t>
  </si>
  <si>
    <t>Roofing industries</t>
  </si>
  <si>
    <t>#</t>
  </si>
  <si>
    <t>link to selection in Outsource form</t>
  </si>
  <si>
    <t>Gantt</t>
  </si>
  <si>
    <t>source data from Estimate / subtotals or Code link</t>
  </si>
  <si>
    <t xml:space="preserve">Prenail </t>
  </si>
  <si>
    <t>times</t>
  </si>
  <si>
    <t>weeks</t>
  </si>
  <si>
    <t>dates</t>
  </si>
  <si>
    <t>Est Date</t>
  </si>
  <si>
    <t xml:space="preserve">from acceptance date </t>
  </si>
  <si>
    <t>date + 56 days</t>
  </si>
  <si>
    <t>link to code database or TSU code, or link to tick box in work request eg Cladding / w/bd drop down box</t>
  </si>
  <si>
    <t>cedar</t>
  </si>
  <si>
    <t>linea</t>
  </si>
  <si>
    <t>pine</t>
  </si>
  <si>
    <t>shadowclad</t>
  </si>
  <si>
    <t xml:space="preserve">RAB </t>
  </si>
  <si>
    <t>Fibre Cement</t>
  </si>
  <si>
    <t>Engineered timber</t>
  </si>
  <si>
    <t>Gib</t>
  </si>
  <si>
    <t>Batts</t>
  </si>
  <si>
    <t>Etc etc</t>
  </si>
  <si>
    <t>eg below, import into Eaccounts CRM for the reps</t>
  </si>
  <si>
    <t># Sourced from "the Yard" in Eaccounts, managed by National office</t>
  </si>
  <si>
    <t>Estimators Notes: sourced from Quantifier data</t>
  </si>
  <si>
    <t>Signature</t>
  </si>
  <si>
    <t xml:space="preserve">Name ( please print ) </t>
  </si>
  <si>
    <t>Signing this form it is deemed that you have read the ITM Terms and Conditions,</t>
  </si>
  <si>
    <t xml:space="preserve"> agreed to the Terms of Trade and read all Tags and Estimatiors notes and all documents contained in this estimate</t>
  </si>
  <si>
    <t>Builder</t>
  </si>
  <si>
    <t>quotes@hillsideitm.co.nz</t>
  </si>
  <si>
    <t xml:space="preserve">Random </t>
  </si>
  <si>
    <t>Capping</t>
  </si>
  <si>
    <t>Strapping</t>
  </si>
  <si>
    <t>Metal</t>
  </si>
  <si>
    <t>Posts</t>
  </si>
  <si>
    <t>Timber</t>
  </si>
  <si>
    <t>H3 Plates</t>
  </si>
  <si>
    <t>Ply Floor</t>
  </si>
  <si>
    <t>MDF PQ Flat Jamb</t>
  </si>
  <si>
    <t>by Builder</t>
  </si>
  <si>
    <t>IFT</t>
  </si>
  <si>
    <t>?</t>
  </si>
  <si>
    <t>Reinforcing - Prebent / cages / Spirals</t>
  </si>
  <si>
    <t>Ribraft</t>
  </si>
  <si>
    <t>Russel Gordon</t>
  </si>
  <si>
    <t>TBC</t>
  </si>
  <si>
    <t>Dominator</t>
  </si>
  <si>
    <t>Doors - Internal</t>
  </si>
  <si>
    <t>Mahurangi</t>
  </si>
  <si>
    <t>Elite</t>
  </si>
  <si>
    <t>Nationwide</t>
  </si>
  <si>
    <t>jo@nationwideprehung.co.nz</t>
  </si>
  <si>
    <t xml:space="preserve">Out Sourcing - send Plans for measure and quote </t>
  </si>
  <si>
    <t xml:space="preserve">Natural </t>
  </si>
  <si>
    <t xml:space="preserve">Wool etc </t>
  </si>
  <si>
    <t>Glass etc</t>
  </si>
  <si>
    <t>Structural Steel</t>
  </si>
  <si>
    <t>Allwin</t>
  </si>
  <si>
    <t>Roofing</t>
  </si>
  <si>
    <t>Rosenfield</t>
  </si>
  <si>
    <t>New Era</t>
  </si>
  <si>
    <t>No Longer doing measures</t>
  </si>
  <si>
    <t>No (By Contractor)</t>
  </si>
  <si>
    <r>
      <t xml:space="preserve">TICK THE GREY BOX FOR ALL ITEMS </t>
    </r>
    <r>
      <rPr>
        <b/>
        <u/>
        <sz val="10"/>
        <rFont val="Arial"/>
        <family val="2"/>
      </rPr>
      <t>OR</t>
    </r>
    <r>
      <rPr>
        <b/>
        <sz val="10"/>
        <rFont val="Arial"/>
        <family val="2"/>
      </rPr>
      <t xml:space="preserve"> INDIVIDUAL ITEMS AS REQUIRED</t>
    </r>
  </si>
  <si>
    <t>131 Diana Drive, Glenfield</t>
  </si>
  <si>
    <t>TIRSH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</si>
</sst>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indexed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50505"/>
      <name val="Calibri"/>
      <family val="2"/>
      <scheme val="minor"/>
    </font>
    <font>
      <sz val="11"/>
      <color rgb="FF000000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sz val="11"/>
      <color rgb="FF444444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Wingdings"/>
      <charset val="2"/>
    </font>
    <font>
      <b/>
      <u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AF4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310">
    <xf numFmtId="0" fontId="0" fillId="0" borderId="0" xfId="0"/>
    <xf numFmtId="0" fontId="0" fillId="0" borderId="2" xfId="0" applyBorder="1"/>
    <xf numFmtId="0" fontId="0" fillId="0" borderId="7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/>
    <xf numFmtId="0" fontId="4" fillId="0" borderId="0" xfId="0" applyFont="1"/>
    <xf numFmtId="0" fontId="0" fillId="0" borderId="6" xfId="0" applyBorder="1"/>
    <xf numFmtId="0" fontId="0" fillId="0" borderId="8" xfId="0" applyBorder="1"/>
    <xf numFmtId="0" fontId="0" fillId="0" borderId="23" xfId="0" applyBorder="1"/>
    <xf numFmtId="0" fontId="0" fillId="0" borderId="24" xfId="0" applyBorder="1"/>
    <xf numFmtId="0" fontId="14" fillId="0" borderId="25" xfId="0" applyFont="1" applyBorder="1"/>
    <xf numFmtId="0" fontId="14" fillId="0" borderId="26" xfId="0" applyFont="1" applyBorder="1"/>
    <xf numFmtId="0" fontId="14" fillId="0" borderId="26" xfId="0" applyFont="1" applyBorder="1" applyAlignment="1">
      <alignment vertical="center"/>
    </xf>
    <xf numFmtId="0" fontId="15" fillId="0" borderId="27" xfId="0" applyFont="1" applyBorder="1"/>
    <xf numFmtId="0" fontId="0" fillId="0" borderId="28" xfId="0" applyBorder="1"/>
    <xf numFmtId="0" fontId="0" fillId="0" borderId="29" xfId="0" applyBorder="1"/>
    <xf numFmtId="0" fontId="0" fillId="0" borderId="27" xfId="0" applyBorder="1"/>
    <xf numFmtId="0" fontId="15" fillId="0" borderId="28" xfId="0" applyFont="1" applyBorder="1"/>
    <xf numFmtId="0" fontId="15" fillId="0" borderId="29" xfId="0" applyFont="1" applyBorder="1"/>
    <xf numFmtId="0" fontId="16" fillId="0" borderId="27" xfId="0" applyFont="1" applyBorder="1"/>
    <xf numFmtId="0" fontId="16" fillId="0" borderId="28" xfId="0" applyFont="1" applyBorder="1"/>
    <xf numFmtId="0" fontId="16" fillId="0" borderId="29" xfId="0" applyFont="1" applyBorder="1"/>
    <xf numFmtId="0" fontId="16" fillId="0" borderId="0" xfId="0" applyFont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3" borderId="28" xfId="0" applyFill="1" applyBorder="1"/>
    <xf numFmtId="0" fontId="5" fillId="0" borderId="11" xfId="0" applyFont="1" applyBorder="1" applyAlignment="1">
      <alignment horizontal="center"/>
    </xf>
    <xf numFmtId="0" fontId="6" fillId="0" borderId="0" xfId="0" applyFont="1"/>
    <xf numFmtId="0" fontId="10" fillId="0" borderId="11" xfId="0" applyFont="1" applyBorder="1" applyAlignment="1">
      <alignment horizontal="center"/>
    </xf>
    <xf numFmtId="0" fontId="6" fillId="0" borderId="4" xfId="0" applyFont="1" applyBorder="1"/>
    <xf numFmtId="0" fontId="9" fillId="0" borderId="2" xfId="0" applyFont="1" applyBorder="1" applyAlignment="1">
      <alignment horizontal="center"/>
    </xf>
    <xf numFmtId="0" fontId="10" fillId="0" borderId="11" xfId="0" applyFont="1" applyBorder="1" applyAlignment="1">
      <alignment horizontal="left"/>
    </xf>
    <xf numFmtId="0" fontId="10" fillId="0" borderId="11" xfId="0" applyFont="1" applyBorder="1" applyAlignment="1">
      <alignment horizontal="center" vertical="center"/>
    </xf>
    <xf numFmtId="0" fontId="6" fillId="0" borderId="6" xfId="0" applyFont="1" applyBorder="1"/>
    <xf numFmtId="0" fontId="11" fillId="0" borderId="7" xfId="0" applyFont="1" applyBorder="1"/>
    <xf numFmtId="0" fontId="7" fillId="0" borderId="7" xfId="0" applyFont="1" applyBorder="1"/>
    <xf numFmtId="0" fontId="0" fillId="0" borderId="0" xfId="0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22" fillId="0" borderId="0" xfId="0" applyFont="1"/>
    <xf numFmtId="0" fontId="22" fillId="0" borderId="33" xfId="0" applyFont="1" applyBorder="1"/>
    <xf numFmtId="0" fontId="22" fillId="0" borderId="0" xfId="0" applyFont="1" applyAlignment="1">
      <alignment horizontal="center"/>
    </xf>
    <xf numFmtId="0" fontId="21" fillId="4" borderId="33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33" xfId="0" applyFont="1" applyBorder="1"/>
    <xf numFmtId="0" fontId="21" fillId="0" borderId="0" xfId="0" applyFont="1"/>
    <xf numFmtId="0" fontId="24" fillId="5" borderId="33" xfId="0" applyFont="1" applyFill="1" applyBorder="1" applyAlignment="1">
      <alignment horizontal="center"/>
    </xf>
    <xf numFmtId="0" fontId="1" fillId="5" borderId="33" xfId="0" applyFont="1" applyFill="1" applyBorder="1" applyAlignment="1">
      <alignment horizontal="center"/>
    </xf>
    <xf numFmtId="14" fontId="21" fillId="0" borderId="33" xfId="0" applyNumberFormat="1" applyFont="1" applyBorder="1" applyAlignment="1">
      <alignment horizontal="center"/>
    </xf>
    <xf numFmtId="14" fontId="1" fillId="5" borderId="33" xfId="0" applyNumberFormat="1" applyFont="1" applyFill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24" fillId="0" borderId="28" xfId="0" applyFont="1" applyBorder="1" applyAlignment="1">
      <alignment horizontal="center"/>
    </xf>
    <xf numFmtId="0" fontId="0" fillId="5" borderId="28" xfId="0" applyFill="1" applyBorder="1"/>
    <xf numFmtId="0" fontId="1" fillId="5" borderId="28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3" fillId="0" borderId="25" xfId="0" applyFont="1" applyBorder="1"/>
    <xf numFmtId="0" fontId="3" fillId="0" borderId="26" xfId="0" applyFont="1" applyBorder="1"/>
    <xf numFmtId="0" fontId="3" fillId="0" borderId="26" xfId="0" applyFont="1" applyBorder="1" applyAlignment="1">
      <alignment vertical="center"/>
    </xf>
    <xf numFmtId="0" fontId="27" fillId="0" borderId="27" xfId="0" applyFont="1" applyBorder="1"/>
    <xf numFmtId="0" fontId="22" fillId="0" borderId="29" xfId="0" applyFont="1" applyBorder="1"/>
    <xf numFmtId="0" fontId="22" fillId="0" borderId="27" xfId="0" applyFont="1" applyBorder="1"/>
    <xf numFmtId="0" fontId="27" fillId="0" borderId="29" xfId="0" applyFont="1" applyBorder="1"/>
    <xf numFmtId="0" fontId="28" fillId="0" borderId="27" xfId="0" applyFont="1" applyBorder="1"/>
    <xf numFmtId="0" fontId="28" fillId="0" borderId="29" xfId="0" applyFont="1" applyBorder="1"/>
    <xf numFmtId="0" fontId="28" fillId="0" borderId="0" xfId="0" applyFont="1"/>
    <xf numFmtId="0" fontId="4" fillId="0" borderId="0" xfId="0" applyFont="1" applyAlignment="1">
      <alignment horizontal="center"/>
    </xf>
    <xf numFmtId="0" fontId="22" fillId="0" borderId="28" xfId="0" applyFont="1" applyBorder="1" applyAlignment="1">
      <alignment horizontal="center"/>
    </xf>
    <xf numFmtId="0" fontId="27" fillId="0" borderId="28" xfId="0" applyFont="1" applyBorder="1" applyAlignment="1">
      <alignment horizontal="center"/>
    </xf>
    <xf numFmtId="0" fontId="28" fillId="0" borderId="28" xfId="0" applyFont="1" applyBorder="1" applyAlignment="1">
      <alignment horizontal="center"/>
    </xf>
    <xf numFmtId="14" fontId="22" fillId="5" borderId="24" xfId="0" applyNumberFormat="1" applyFont="1" applyFill="1" applyBorder="1" applyAlignment="1">
      <alignment horizontal="center"/>
    </xf>
    <xf numFmtId="0" fontId="28" fillId="5" borderId="24" xfId="0" applyFont="1" applyFill="1" applyBorder="1" applyAlignment="1">
      <alignment horizontal="center"/>
    </xf>
    <xf numFmtId="0" fontId="3" fillId="0" borderId="23" xfId="0" applyFont="1" applyBorder="1"/>
    <xf numFmtId="0" fontId="22" fillId="5" borderId="24" xfId="0" applyFont="1" applyFill="1" applyBorder="1" applyAlignment="1">
      <alignment horizontal="center"/>
    </xf>
    <xf numFmtId="0" fontId="22" fillId="5" borderId="0" xfId="0" applyFont="1" applyFill="1" applyAlignment="1">
      <alignment horizontal="center"/>
    </xf>
    <xf numFmtId="0" fontId="22" fillId="6" borderId="24" xfId="0" applyFont="1" applyFill="1" applyBorder="1" applyAlignment="1">
      <alignment horizontal="center"/>
    </xf>
    <xf numFmtId="0" fontId="1" fillId="4" borderId="33" xfId="0" applyFont="1" applyFill="1" applyBorder="1" applyAlignment="1">
      <alignment horizontal="left"/>
    </xf>
    <xf numFmtId="0" fontId="0" fillId="0" borderId="0" xfId="0" applyAlignment="1">
      <alignment horizontal="left"/>
    </xf>
    <xf numFmtId="15" fontId="30" fillId="0" borderId="0" xfId="0" applyNumberFormat="1" applyFont="1"/>
    <xf numFmtId="0" fontId="30" fillId="0" borderId="0" xfId="0" applyFont="1"/>
    <xf numFmtId="0" fontId="31" fillId="0" borderId="0" xfId="0" applyFont="1"/>
    <xf numFmtId="15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left"/>
    </xf>
    <xf numFmtId="0" fontId="30" fillId="5" borderId="0" xfId="0" applyFont="1" applyFill="1" applyAlignment="1">
      <alignment horizontal="left"/>
    </xf>
    <xf numFmtId="0" fontId="30" fillId="5" borderId="0" xfId="0" applyFont="1" applyFill="1"/>
    <xf numFmtId="0" fontId="33" fillId="0" borderId="0" xfId="0" applyFont="1"/>
    <xf numFmtId="0" fontId="14" fillId="0" borderId="0" xfId="0" applyFont="1"/>
    <xf numFmtId="0" fontId="35" fillId="0" borderId="0" xfId="0" applyFont="1"/>
    <xf numFmtId="0" fontId="34" fillId="5" borderId="0" xfId="0" applyFont="1" applyFill="1" applyAlignment="1">
      <alignment horizontal="left"/>
    </xf>
    <xf numFmtId="0" fontId="34" fillId="5" borderId="0" xfId="0" applyFont="1" applyFill="1"/>
    <xf numFmtId="14" fontId="34" fillId="5" borderId="0" xfId="0" applyNumberFormat="1" applyFont="1" applyFill="1"/>
    <xf numFmtId="0" fontId="14" fillId="5" borderId="0" xfId="0" applyFont="1" applyFill="1"/>
    <xf numFmtId="0" fontId="36" fillId="0" borderId="0" xfId="0" applyFont="1"/>
    <xf numFmtId="0" fontId="18" fillId="0" borderId="0" xfId="1"/>
    <xf numFmtId="0" fontId="37" fillId="0" borderId="0" xfId="0" applyFont="1"/>
    <xf numFmtId="0" fontId="38" fillId="0" borderId="0" xfId="0" applyFont="1"/>
    <xf numFmtId="0" fontId="25" fillId="0" borderId="0" xfId="0" applyFont="1"/>
    <xf numFmtId="14" fontId="22" fillId="0" borderId="0" xfId="0" applyNumberFormat="1" applyFont="1"/>
    <xf numFmtId="0" fontId="0" fillId="3" borderId="0" xfId="0" applyFill="1"/>
    <xf numFmtId="0" fontId="25" fillId="3" borderId="0" xfId="0" applyFont="1" applyFill="1"/>
    <xf numFmtId="0" fontId="22" fillId="3" borderId="0" xfId="0" applyFont="1" applyFill="1"/>
    <xf numFmtId="0" fontId="39" fillId="0" borderId="0" xfId="0" applyFont="1"/>
    <xf numFmtId="0" fontId="0" fillId="5" borderId="0" xfId="0" applyFill="1"/>
    <xf numFmtId="0" fontId="0" fillId="0" borderId="37" xfId="0" applyBorder="1"/>
    <xf numFmtId="0" fontId="32" fillId="0" borderId="0" xfId="0" applyFont="1"/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12" fillId="0" borderId="0" xfId="0" applyFont="1"/>
    <xf numFmtId="0" fontId="9" fillId="0" borderId="0" xfId="0" applyFont="1"/>
    <xf numFmtId="14" fontId="6" fillId="0" borderId="0" xfId="0" applyNumberFormat="1" applyFont="1"/>
    <xf numFmtId="0" fontId="12" fillId="0" borderId="4" xfId="0" applyFont="1" applyBorder="1"/>
    <xf numFmtId="0" fontId="22" fillId="0" borderId="5" xfId="0" applyFont="1" applyBorder="1"/>
    <xf numFmtId="0" fontId="22" fillId="0" borderId="7" xfId="0" applyFont="1" applyBorder="1"/>
    <xf numFmtId="0" fontId="22" fillId="0" borderId="8" xfId="0" applyFont="1" applyBorder="1"/>
    <xf numFmtId="0" fontId="9" fillId="0" borderId="0" xfId="0" applyFont="1" applyAlignment="1">
      <alignment horizontal="right"/>
    </xf>
    <xf numFmtId="0" fontId="12" fillId="0" borderId="1" xfId="0" applyFont="1" applyBorder="1"/>
    <xf numFmtId="0" fontId="12" fillId="0" borderId="2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5" xfId="0" applyFont="1" applyBorder="1"/>
    <xf numFmtId="0" fontId="42" fillId="0" borderId="0" xfId="0" applyFont="1" applyAlignment="1">
      <alignment horizontal="center"/>
    </xf>
    <xf numFmtId="0" fontId="9" fillId="0" borderId="4" xfId="0" applyFont="1" applyBorder="1"/>
    <xf numFmtId="0" fontId="42" fillId="0" borderId="2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2" fillId="0" borderId="0" xfId="0" applyFont="1" applyAlignment="1">
      <alignment horizontal="left"/>
    </xf>
    <xf numFmtId="0" fontId="9" fillId="0" borderId="6" xfId="0" applyFont="1" applyBorder="1"/>
    <xf numFmtId="0" fontId="9" fillId="0" borderId="8" xfId="0" applyFont="1" applyBorder="1"/>
    <xf numFmtId="0" fontId="28" fillId="0" borderId="16" xfId="0" applyFont="1" applyBorder="1"/>
    <xf numFmtId="0" fontId="43" fillId="0" borderId="6" xfId="0" applyFont="1" applyBorder="1" applyAlignment="1">
      <alignment horizontal="center"/>
    </xf>
    <xf numFmtId="0" fontId="28" fillId="0" borderId="7" xfId="0" applyFont="1" applyBorder="1"/>
    <xf numFmtId="0" fontId="43" fillId="0" borderId="7" xfId="0" applyFont="1" applyBorder="1"/>
    <xf numFmtId="0" fontId="28" fillId="0" borderId="8" xfId="0" applyFont="1" applyBorder="1"/>
    <xf numFmtId="0" fontId="12" fillId="0" borderId="5" xfId="0" applyFont="1" applyBorder="1" applyAlignment="1">
      <alignment horizontal="center"/>
    </xf>
    <xf numFmtId="0" fontId="9" fillId="7" borderId="7" xfId="0" applyFont="1" applyFill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8" fillId="0" borderId="4" xfId="0" applyFont="1" applyBorder="1"/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1" fillId="0" borderId="4" xfId="0" applyFont="1" applyBorder="1" applyAlignment="1">
      <alignment horizontal="left"/>
    </xf>
    <xf numFmtId="0" fontId="18" fillId="0" borderId="0" xfId="1" applyBorder="1"/>
    <xf numFmtId="0" fontId="1" fillId="0" borderId="0" xfId="0" applyFont="1"/>
    <xf numFmtId="0" fontId="12" fillId="0" borderId="4" xfId="0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0" fontId="6" fillId="0" borderId="0" xfId="0" applyFont="1" applyAlignment="1">
      <alignment vertical="top"/>
    </xf>
    <xf numFmtId="0" fontId="12" fillId="0" borderId="1" xfId="0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9" fillId="0" borderId="2" xfId="0" applyFont="1" applyBorder="1" applyAlignment="1">
      <alignment horizontal="right" vertical="top"/>
    </xf>
    <xf numFmtId="0" fontId="6" fillId="0" borderId="0" xfId="0" applyFont="1" applyAlignment="1">
      <alignment vertical="center"/>
    </xf>
    <xf numFmtId="0" fontId="8" fillId="0" borderId="1" xfId="0" applyFont="1" applyBorder="1" applyAlignment="1">
      <alignment horizontal="left"/>
    </xf>
    <xf numFmtId="0" fontId="12" fillId="0" borderId="2" xfId="0" applyFont="1" applyBorder="1" applyAlignment="1">
      <alignment horizontal="left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9" fillId="0" borderId="4" xfId="0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6" fillId="0" borderId="40" xfId="0" applyFont="1" applyBorder="1"/>
    <xf numFmtId="0" fontId="10" fillId="0" borderId="15" xfId="0" applyFont="1" applyBorder="1" applyAlignment="1">
      <alignment horizontal="center"/>
    </xf>
    <xf numFmtId="0" fontId="17" fillId="0" borderId="5" xfId="0" applyFont="1" applyBorder="1" applyAlignment="1" applyProtection="1">
      <alignment horizontal="left"/>
      <protection locked="0"/>
    </xf>
    <xf numFmtId="0" fontId="9" fillId="0" borderId="13" xfId="0" applyFont="1" applyBorder="1"/>
    <xf numFmtId="0" fontId="0" fillId="0" borderId="0" xfId="0" applyAlignment="1">
      <alignment horizontal="left"/>
    </xf>
    <xf numFmtId="0" fontId="9" fillId="0" borderId="4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1" fillId="7" borderId="0" xfId="1" applyFont="1" applyFill="1" applyBorder="1" applyAlignment="1">
      <alignment horizontal="center" vertical="top"/>
    </xf>
    <xf numFmtId="0" fontId="41" fillId="7" borderId="5" xfId="1" applyFont="1" applyFill="1" applyBorder="1" applyAlignment="1">
      <alignment horizontal="center" vertical="top"/>
    </xf>
    <xf numFmtId="0" fontId="9" fillId="7" borderId="0" xfId="0" applyFont="1" applyFill="1" applyAlignment="1">
      <alignment horizontal="left" vertical="top"/>
    </xf>
    <xf numFmtId="0" fontId="9" fillId="7" borderId="5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18" fillId="0" borderId="0" xfId="1" applyFill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0" fontId="18" fillId="0" borderId="0" xfId="1" applyBorder="1" applyAlignment="1">
      <alignment horizontal="left"/>
    </xf>
    <xf numFmtId="0" fontId="40" fillId="0" borderId="0" xfId="0" applyFont="1" applyAlignment="1">
      <alignment horizontal="left"/>
    </xf>
    <xf numFmtId="0" fontId="8" fillId="2" borderId="13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18" fillId="0" borderId="0" xfId="1" applyFill="1" applyBorder="1" applyAlignment="1">
      <alignment horizontal="center"/>
    </xf>
    <xf numFmtId="0" fontId="12" fillId="0" borderId="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9" fillId="0" borderId="0" xfId="0" applyFont="1"/>
    <xf numFmtId="0" fontId="8" fillId="0" borderId="4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28" fillId="0" borderId="17" xfId="0" applyFont="1" applyBorder="1"/>
    <xf numFmtId="0" fontId="28" fillId="0" borderId="10" xfId="0" applyFont="1" applyBorder="1"/>
    <xf numFmtId="0" fontId="28" fillId="0" borderId="16" xfId="0" applyFont="1" applyBorder="1"/>
    <xf numFmtId="0" fontId="43" fillId="0" borderId="17" xfId="0" applyFont="1" applyBorder="1" applyAlignment="1">
      <alignment horizontal="center"/>
    </xf>
    <xf numFmtId="0" fontId="11" fillId="0" borderId="10" xfId="0" applyFont="1" applyBorder="1"/>
    <xf numFmtId="0" fontId="28" fillId="0" borderId="18" xfId="0" applyFont="1" applyBorder="1"/>
    <xf numFmtId="0" fontId="22" fillId="0" borderId="18" xfId="0" applyFont="1" applyBorder="1"/>
    <xf numFmtId="0" fontId="43" fillId="0" borderId="19" xfId="0" applyFont="1" applyBorder="1"/>
    <xf numFmtId="0" fontId="22" fillId="0" borderId="19" xfId="0" applyFont="1" applyBorder="1"/>
    <xf numFmtId="0" fontId="7" fillId="0" borderId="12" xfId="0" applyFont="1" applyBorder="1"/>
    <xf numFmtId="0" fontId="22" fillId="0" borderId="12" xfId="0" applyFont="1" applyBorder="1"/>
    <xf numFmtId="0" fontId="9" fillId="0" borderId="0" xfId="0" applyFont="1" applyAlignment="1">
      <alignment horizontal="center"/>
    </xf>
    <xf numFmtId="0" fontId="28" fillId="0" borderId="39" xfId="0" applyFont="1" applyBorder="1" applyAlignment="1">
      <alignment horizontal="left"/>
    </xf>
    <xf numFmtId="0" fontId="28" fillId="0" borderId="34" xfId="0" applyFont="1" applyBorder="1" applyAlignment="1">
      <alignment horizontal="left"/>
    </xf>
    <xf numFmtId="0" fontId="28" fillId="0" borderId="35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9" xfId="0" applyFont="1" applyBorder="1" applyAlignment="1">
      <alignment horizontal="left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top"/>
    </xf>
    <xf numFmtId="0" fontId="12" fillId="0" borderId="2" xfId="0" applyFont="1" applyBorder="1" applyAlignment="1">
      <alignment horizontal="center" vertical="top"/>
    </xf>
    <xf numFmtId="0" fontId="9" fillId="0" borderId="10" xfId="0" applyFont="1" applyBorder="1"/>
    <xf numFmtId="0" fontId="9" fillId="0" borderId="9" xfId="0" applyFont="1" applyBorder="1"/>
    <xf numFmtId="0" fontId="9" fillId="0" borderId="5" xfId="0" applyFont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21" fillId="5" borderId="9" xfId="0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21" fillId="7" borderId="10" xfId="0" applyFont="1" applyFill="1" applyBorder="1" applyAlignment="1">
      <alignment horizontal="center"/>
    </xf>
    <xf numFmtId="14" fontId="22" fillId="7" borderId="9" xfId="0" applyNumberFormat="1" applyFont="1" applyFill="1" applyBorder="1" applyAlignment="1">
      <alignment horizontal="center"/>
    </xf>
    <xf numFmtId="0" fontId="22" fillId="7" borderId="9" xfId="0" applyFont="1" applyFill="1" applyBorder="1" applyAlignment="1">
      <alignment horizontal="center"/>
    </xf>
    <xf numFmtId="0" fontId="10" fillId="0" borderId="9" xfId="0" applyFont="1" applyBorder="1"/>
    <xf numFmtId="0" fontId="11" fillId="0" borderId="6" xfId="0" applyFont="1" applyBorder="1"/>
    <xf numFmtId="0" fontId="11" fillId="0" borderId="7" xfId="0" applyFont="1" applyBorder="1"/>
    <xf numFmtId="0" fontId="22" fillId="0" borderId="8" xfId="0" applyFont="1" applyBorder="1"/>
    <xf numFmtId="0" fontId="9" fillId="0" borderId="7" xfId="0" applyFont="1" applyBorder="1"/>
    <xf numFmtId="0" fontId="9" fillId="7" borderId="2" xfId="0" applyFont="1" applyFill="1" applyBorder="1" applyAlignment="1">
      <alignment horizontal="center" vertical="top"/>
    </xf>
    <xf numFmtId="0" fontId="9" fillId="7" borderId="3" xfId="0" applyFont="1" applyFill="1" applyBorder="1" applyAlignment="1">
      <alignment horizontal="center" vertical="top"/>
    </xf>
    <xf numFmtId="0" fontId="9" fillId="7" borderId="2" xfId="0" applyFont="1" applyFill="1" applyBorder="1" applyAlignment="1">
      <alignment horizontal="left" vertical="top"/>
    </xf>
    <xf numFmtId="0" fontId="22" fillId="7" borderId="2" xfId="0" applyFont="1" applyFill="1" applyBorder="1" applyAlignment="1">
      <alignment horizontal="left" vertical="top"/>
    </xf>
    <xf numFmtId="0" fontId="22" fillId="7" borderId="3" xfId="0" applyFont="1" applyFill="1" applyBorder="1" applyAlignment="1">
      <alignment horizontal="left" vertical="top"/>
    </xf>
    <xf numFmtId="0" fontId="9" fillId="0" borderId="4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4" fillId="5" borderId="0" xfId="0" applyFont="1" applyFill="1" applyAlignment="1">
      <alignment vertical="center"/>
    </xf>
    <xf numFmtId="15" fontId="30" fillId="5" borderId="0" xfId="0" applyNumberFormat="1" applyFont="1" applyFill="1" applyAlignment="1">
      <alignment horizontal="center"/>
    </xf>
    <xf numFmtId="0" fontId="30" fillId="5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0" fontId="31" fillId="5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0" fillId="0" borderId="31" xfId="0" applyBorder="1" applyAlignment="1">
      <alignment horizontal="center"/>
    </xf>
    <xf numFmtId="0" fontId="29" fillId="0" borderId="0" xfId="0" applyFont="1" applyAlignment="1">
      <alignment horizontal="center"/>
    </xf>
    <xf numFmtId="0" fontId="21" fillId="0" borderId="23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28" fillId="5" borderId="36" xfId="0" applyFont="1" applyFill="1" applyBorder="1" applyAlignment="1">
      <alignment horizontal="center"/>
    </xf>
    <xf numFmtId="0" fontId="28" fillId="5" borderId="37" xfId="0" applyFont="1" applyFill="1" applyBorder="1" applyAlignment="1">
      <alignment horizontal="center"/>
    </xf>
    <xf numFmtId="0" fontId="28" fillId="5" borderId="38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4" xfId="0" applyFont="1" applyBorder="1" applyAlignment="1">
      <alignment horizontal="center"/>
    </xf>
    <xf numFmtId="0" fontId="22" fillId="5" borderId="36" xfId="0" applyFont="1" applyFill="1" applyBorder="1" applyAlignment="1">
      <alignment horizontal="center"/>
    </xf>
    <xf numFmtId="0" fontId="22" fillId="5" borderId="37" xfId="0" applyFont="1" applyFill="1" applyBorder="1" applyAlignment="1">
      <alignment horizontal="center"/>
    </xf>
    <xf numFmtId="0" fontId="22" fillId="5" borderId="38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4" borderId="33" xfId="0" applyFill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6" fillId="0" borderId="23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" fillId="0" borderId="23" xfId="0" applyFont="1" applyBorder="1" applyAlignment="1">
      <alignment horizontal="left"/>
    </xf>
    <xf numFmtId="0" fontId="15" fillId="0" borderId="0" xfId="0" applyFont="1" applyAlignment="1">
      <alignment horizontal="center"/>
    </xf>
    <xf numFmtId="0" fontId="0" fillId="0" borderId="33" xfId="0" applyBorder="1" applyAlignment="1">
      <alignment horizontal="center"/>
    </xf>
    <xf numFmtId="0" fontId="22" fillId="0" borderId="0" xfId="0" applyFont="1" applyAlignment="1">
      <alignment horizontal="center"/>
    </xf>
    <xf numFmtId="0" fontId="21" fillId="0" borderId="23" xfId="0" applyFont="1" applyBorder="1" applyAlignment="1">
      <alignment horizontal="center"/>
    </xf>
    <xf numFmtId="14" fontId="22" fillId="5" borderId="36" xfId="0" applyNumberFormat="1" applyFont="1" applyFill="1" applyBorder="1" applyAlignment="1">
      <alignment horizontal="center"/>
    </xf>
    <xf numFmtId="14" fontId="22" fillId="5" borderId="37" xfId="0" applyNumberFormat="1" applyFont="1" applyFill="1" applyBorder="1" applyAlignment="1">
      <alignment horizontal="center"/>
    </xf>
    <xf numFmtId="14" fontId="22" fillId="5" borderId="38" xfId="0" applyNumberFormat="1" applyFont="1" applyFill="1" applyBorder="1" applyAlignment="1">
      <alignment horizontal="center"/>
    </xf>
    <xf numFmtId="14" fontId="22" fillId="4" borderId="36" xfId="0" applyNumberFormat="1" applyFont="1" applyFill="1" applyBorder="1" applyAlignment="1">
      <alignment horizontal="center"/>
    </xf>
    <xf numFmtId="14" fontId="22" fillId="4" borderId="37" xfId="0" applyNumberFormat="1" applyFont="1" applyFill="1" applyBorder="1" applyAlignment="1">
      <alignment horizontal="center"/>
    </xf>
    <xf numFmtId="14" fontId="22" fillId="4" borderId="38" xfId="0" applyNumberFormat="1" applyFont="1" applyFill="1" applyBorder="1" applyAlignment="1">
      <alignment horizontal="center"/>
    </xf>
    <xf numFmtId="0" fontId="1" fillId="5" borderId="33" xfId="0" applyFont="1" applyFill="1" applyBorder="1" applyAlignment="1">
      <alignment horizontal="center"/>
    </xf>
    <xf numFmtId="0" fontId="3" fillId="0" borderId="20" xfId="0" applyFont="1" applyBorder="1" applyAlignment="1">
      <alignment horizontal="right" vertical="center"/>
    </xf>
    <xf numFmtId="0" fontId="3" fillId="0" borderId="21" xfId="0" applyFont="1" applyBorder="1" applyAlignment="1">
      <alignment horizontal="right" vertical="center"/>
    </xf>
    <xf numFmtId="0" fontId="3" fillId="0" borderId="22" xfId="0" applyFont="1" applyBorder="1" applyAlignment="1">
      <alignment horizontal="right" vertical="center"/>
    </xf>
    <xf numFmtId="0" fontId="20" fillId="2" borderId="33" xfId="0" applyFont="1" applyFill="1" applyBorder="1" applyAlignment="1">
      <alignment horizontal="center"/>
    </xf>
    <xf numFmtId="0" fontId="9" fillId="5" borderId="36" xfId="0" applyFont="1" applyFill="1" applyBorder="1" applyAlignment="1">
      <alignment horizontal="center"/>
    </xf>
    <xf numFmtId="0" fontId="9" fillId="5" borderId="37" xfId="0" applyFont="1" applyFill="1" applyBorder="1" applyAlignment="1">
      <alignment horizontal="center"/>
    </xf>
    <xf numFmtId="0" fontId="9" fillId="5" borderId="38" xfId="0" applyFont="1" applyFill="1" applyBorder="1" applyAlignment="1">
      <alignment horizontal="center"/>
    </xf>
    <xf numFmtId="0" fontId="21" fillId="4" borderId="36" xfId="0" applyFont="1" applyFill="1" applyBorder="1" applyAlignment="1">
      <alignment horizontal="center"/>
    </xf>
    <xf numFmtId="0" fontId="21" fillId="4" borderId="38" xfId="0" applyFont="1" applyFill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2" fillId="4" borderId="33" xfId="0" applyFont="1" applyFill="1" applyBorder="1" applyAlignment="1">
      <alignment horizontal="center"/>
    </xf>
    <xf numFmtId="0" fontId="22" fillId="4" borderId="36" xfId="0" applyFont="1" applyFill="1" applyBorder="1" applyAlignment="1">
      <alignment horizontal="center"/>
    </xf>
    <xf numFmtId="0" fontId="22" fillId="4" borderId="37" xfId="0" applyFont="1" applyFill="1" applyBorder="1" applyAlignment="1">
      <alignment horizontal="center"/>
    </xf>
    <xf numFmtId="0" fontId="22" fillId="4" borderId="38" xfId="0" applyFont="1" applyFill="1" applyBorder="1" applyAlignment="1">
      <alignment horizontal="center"/>
    </xf>
    <xf numFmtId="0" fontId="21" fillId="0" borderId="36" xfId="0" applyFont="1" applyBorder="1" applyAlignment="1">
      <alignment horizontal="center"/>
    </xf>
    <xf numFmtId="0" fontId="21" fillId="0" borderId="38" xfId="0" applyFont="1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13" fillId="0" borderId="20" xfId="0" applyFont="1" applyBorder="1" applyAlignment="1">
      <alignment horizontal="right" vertical="center"/>
    </xf>
    <xf numFmtId="0" fontId="13" fillId="0" borderId="21" xfId="0" applyFont="1" applyBorder="1" applyAlignment="1">
      <alignment horizontal="right" vertical="center"/>
    </xf>
    <xf numFmtId="0" fontId="13" fillId="0" borderId="22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1" fillId="0" borderId="33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4" xfId="0" applyBorder="1" applyAlignment="1">
      <alignment horizontal="center"/>
    </xf>
  </cellXfs>
  <cellStyles count="2">
    <cellStyle name="Hyperlink" xfId="1" builtinId="8"/>
    <cellStyle name="Normal" xfId="0" builtinId="0"/>
  </cellStyles>
  <dxfs count="35">
    <dxf>
      <font>
        <b/>
        <i val="0"/>
      </font>
    </dxf>
    <dxf>
      <font>
        <strike/>
        <color theme="0" tint="-4.9989318521683403E-2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strike/>
        <color theme="0" tint="-4.9989318521683403E-2"/>
      </font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12"/>
        </patternFill>
      </fill>
    </dxf>
  </dxfs>
  <tableStyles count="0" defaultTableStyle="TableStyleMedium2" defaultPivotStyle="PivotStyleLight16"/>
  <colors>
    <mruColors>
      <color rgb="FFF6FA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AK$10" lockText="1" noThreeD="1"/>
</file>

<file path=xl/ctrlProps/ctrlProp2.xml><?xml version="1.0" encoding="utf-8"?>
<formControlPr xmlns="http://schemas.microsoft.com/office/spreadsheetml/2009/9/main" objectType="CheckBox" checked="Checked" fmlaLink="$AK$12" lockText="1" noThreeD="1"/>
</file>

<file path=xl/ctrlProps/ctrlProp3.xml><?xml version="1.0" encoding="utf-8"?>
<formControlPr xmlns="http://schemas.microsoft.com/office/spreadsheetml/2009/9/main" objectType="CheckBox" fmlaLink="$AK$13" lockText="1" noThreeD="1"/>
</file>

<file path=xl/ctrlProps/ctrlProp4.xml><?xml version="1.0" encoding="utf-8"?>
<formControlPr xmlns="http://schemas.microsoft.com/office/spreadsheetml/2009/9/main" objectType="CheckBox" fmlaLink="$AM$10" lockText="1" noThreeD="1"/>
</file>

<file path=xl/ctrlProps/ctrlProp5.xml><?xml version="1.0" encoding="utf-8"?>
<formControlPr xmlns="http://schemas.microsoft.com/office/spreadsheetml/2009/9/main" objectType="CheckBox" fmlaLink="$AM$11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fmlaLink="$AC$10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fmlaLink="$AE$10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fmlaLink="$AC$19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fmlaLink="$AC$26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AC$15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fmlaLink="$AC$30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fmlaLink="$AC$34" lockText="1" noThreeD="1"/>
</file>

<file path=xl/ctrlProps/ctrlProp81.xml><?xml version="1.0" encoding="utf-8"?>
<formControlPr xmlns="http://schemas.microsoft.com/office/spreadsheetml/2009/9/main" objectType="CheckBox" fmlaLink="$AC$40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fmlaLink="$AC$36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fmlaLink="$AC$28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jpe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1243</xdr:colOff>
      <xdr:row>0</xdr:row>
      <xdr:rowOff>1243</xdr:rowOff>
    </xdr:from>
    <xdr:to>
      <xdr:col>7</xdr:col>
      <xdr:colOff>78198</xdr:colOff>
      <xdr:row>2</xdr:row>
      <xdr:rowOff>20293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" y="1243"/>
          <a:ext cx="1832868" cy="7396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0</xdr:rowOff>
        </xdr:from>
        <xdr:to>
          <xdr:col>1</xdr:col>
          <xdr:colOff>66675</xdr:colOff>
          <xdr:row>11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171450</xdr:rowOff>
        </xdr:from>
        <xdr:to>
          <xdr:col>1</xdr:col>
          <xdr:colOff>66675</xdr:colOff>
          <xdr:row>12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171450</xdr:rowOff>
        </xdr:from>
        <xdr:to>
          <xdr:col>1</xdr:col>
          <xdr:colOff>66675</xdr:colOff>
          <xdr:row>13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9</xdr:row>
          <xdr:rowOff>180975</xdr:rowOff>
        </xdr:from>
        <xdr:to>
          <xdr:col>8</xdr:col>
          <xdr:colOff>57150</xdr:colOff>
          <xdr:row>11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171450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</xdr:row>
          <xdr:rowOff>171450</xdr:rowOff>
        </xdr:from>
        <xdr:to>
          <xdr:col>8</xdr:col>
          <xdr:colOff>57150</xdr:colOff>
          <xdr:row>13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</xdr:row>
          <xdr:rowOff>180975</xdr:rowOff>
        </xdr:from>
        <xdr:to>
          <xdr:col>14</xdr:col>
          <xdr:colOff>66675</xdr:colOff>
          <xdr:row>11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171450</xdr:rowOff>
        </xdr:from>
        <xdr:to>
          <xdr:col>14</xdr:col>
          <xdr:colOff>66675</xdr:colOff>
          <xdr:row>12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</xdr:row>
          <xdr:rowOff>171450</xdr:rowOff>
        </xdr:from>
        <xdr:to>
          <xdr:col>14</xdr:col>
          <xdr:colOff>66675</xdr:colOff>
          <xdr:row>13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12</xdr:row>
          <xdr:rowOff>171450</xdr:rowOff>
        </xdr:from>
        <xdr:to>
          <xdr:col>14</xdr:col>
          <xdr:colOff>66675</xdr:colOff>
          <xdr:row>14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13</xdr:row>
          <xdr:rowOff>171450</xdr:rowOff>
        </xdr:from>
        <xdr:to>
          <xdr:col>14</xdr:col>
          <xdr:colOff>66675</xdr:colOff>
          <xdr:row>15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14</xdr:row>
          <xdr:rowOff>171450</xdr:rowOff>
        </xdr:from>
        <xdr:to>
          <xdr:col>14</xdr:col>
          <xdr:colOff>66675</xdr:colOff>
          <xdr:row>16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14</xdr:row>
          <xdr:rowOff>180975</xdr:rowOff>
        </xdr:from>
        <xdr:to>
          <xdr:col>1</xdr:col>
          <xdr:colOff>76200</xdr:colOff>
          <xdr:row>16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15</xdr:row>
          <xdr:rowOff>161925</xdr:rowOff>
        </xdr:from>
        <xdr:to>
          <xdr:col>1</xdr:col>
          <xdr:colOff>76200</xdr:colOff>
          <xdr:row>17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161925</xdr:rowOff>
        </xdr:from>
        <xdr:to>
          <xdr:col>1</xdr:col>
          <xdr:colOff>76200</xdr:colOff>
          <xdr:row>18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18</xdr:row>
          <xdr:rowOff>171450</xdr:rowOff>
        </xdr:from>
        <xdr:to>
          <xdr:col>14</xdr:col>
          <xdr:colOff>85725</xdr:colOff>
          <xdr:row>20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19</xdr:row>
          <xdr:rowOff>171450</xdr:rowOff>
        </xdr:from>
        <xdr:to>
          <xdr:col>14</xdr:col>
          <xdr:colOff>85725</xdr:colOff>
          <xdr:row>21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20</xdr:row>
          <xdr:rowOff>171450</xdr:rowOff>
        </xdr:from>
        <xdr:to>
          <xdr:col>14</xdr:col>
          <xdr:colOff>85725</xdr:colOff>
          <xdr:row>22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18</xdr:row>
          <xdr:rowOff>171450</xdr:rowOff>
        </xdr:from>
        <xdr:to>
          <xdr:col>20</xdr:col>
          <xdr:colOff>76200</xdr:colOff>
          <xdr:row>20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19</xdr:row>
          <xdr:rowOff>171450</xdr:rowOff>
        </xdr:from>
        <xdr:to>
          <xdr:col>20</xdr:col>
          <xdr:colOff>76200</xdr:colOff>
          <xdr:row>21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20</xdr:row>
          <xdr:rowOff>171450</xdr:rowOff>
        </xdr:from>
        <xdr:to>
          <xdr:col>20</xdr:col>
          <xdr:colOff>76200</xdr:colOff>
          <xdr:row>22</xdr:row>
          <xdr:rowOff>9525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29</xdr:row>
          <xdr:rowOff>171450</xdr:rowOff>
        </xdr:from>
        <xdr:to>
          <xdr:col>22</xdr:col>
          <xdr:colOff>76200</xdr:colOff>
          <xdr:row>31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30</xdr:row>
          <xdr:rowOff>171450</xdr:rowOff>
        </xdr:from>
        <xdr:to>
          <xdr:col>22</xdr:col>
          <xdr:colOff>76200</xdr:colOff>
          <xdr:row>32</xdr:row>
          <xdr:rowOff>9525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31</xdr:row>
          <xdr:rowOff>171450</xdr:rowOff>
        </xdr:from>
        <xdr:to>
          <xdr:col>22</xdr:col>
          <xdr:colOff>76200</xdr:colOff>
          <xdr:row>33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171450</xdr:rowOff>
        </xdr:from>
        <xdr:to>
          <xdr:col>14</xdr:col>
          <xdr:colOff>76200</xdr:colOff>
          <xdr:row>31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171450</xdr:rowOff>
        </xdr:from>
        <xdr:to>
          <xdr:col>14</xdr:col>
          <xdr:colOff>76200</xdr:colOff>
          <xdr:row>32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31</xdr:row>
          <xdr:rowOff>171450</xdr:rowOff>
        </xdr:from>
        <xdr:to>
          <xdr:col>14</xdr:col>
          <xdr:colOff>76200</xdr:colOff>
          <xdr:row>33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27</xdr:row>
          <xdr:rowOff>171450</xdr:rowOff>
        </xdr:from>
        <xdr:to>
          <xdr:col>1</xdr:col>
          <xdr:colOff>76200</xdr:colOff>
          <xdr:row>29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28</xdr:row>
          <xdr:rowOff>180975</xdr:rowOff>
        </xdr:from>
        <xdr:to>
          <xdr:col>1</xdr:col>
          <xdr:colOff>76200</xdr:colOff>
          <xdr:row>30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29</xdr:row>
          <xdr:rowOff>180975</xdr:rowOff>
        </xdr:from>
        <xdr:to>
          <xdr:col>1</xdr:col>
          <xdr:colOff>76200</xdr:colOff>
          <xdr:row>31</xdr:row>
          <xdr:rowOff>19050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21</xdr:row>
          <xdr:rowOff>180975</xdr:rowOff>
        </xdr:from>
        <xdr:to>
          <xdr:col>1</xdr:col>
          <xdr:colOff>76200</xdr:colOff>
          <xdr:row>23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161925</xdr:rowOff>
        </xdr:from>
        <xdr:to>
          <xdr:col>1</xdr:col>
          <xdr:colOff>76200</xdr:colOff>
          <xdr:row>24</xdr:row>
          <xdr:rowOff>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23</xdr:row>
          <xdr:rowOff>161925</xdr:rowOff>
        </xdr:from>
        <xdr:to>
          <xdr:col>1</xdr:col>
          <xdr:colOff>76200</xdr:colOff>
          <xdr:row>25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180975</xdr:rowOff>
        </xdr:from>
        <xdr:to>
          <xdr:col>5</xdr:col>
          <xdr:colOff>76200</xdr:colOff>
          <xdr:row>24</xdr:row>
          <xdr:rowOff>19050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171450</xdr:rowOff>
        </xdr:from>
        <xdr:to>
          <xdr:col>5</xdr:col>
          <xdr:colOff>76200</xdr:colOff>
          <xdr:row>25</xdr:row>
          <xdr:rowOff>9525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171450</xdr:rowOff>
        </xdr:from>
        <xdr:to>
          <xdr:col>5</xdr:col>
          <xdr:colOff>76200</xdr:colOff>
          <xdr:row>26</xdr:row>
          <xdr:rowOff>9525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22</xdr:row>
          <xdr:rowOff>180975</xdr:rowOff>
        </xdr:from>
        <xdr:to>
          <xdr:col>8</xdr:col>
          <xdr:colOff>57150</xdr:colOff>
          <xdr:row>24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23</xdr:row>
          <xdr:rowOff>171450</xdr:rowOff>
        </xdr:from>
        <xdr:to>
          <xdr:col>8</xdr:col>
          <xdr:colOff>57150</xdr:colOff>
          <xdr:row>25</xdr:row>
          <xdr:rowOff>9525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24</xdr:row>
          <xdr:rowOff>161925</xdr:rowOff>
        </xdr:from>
        <xdr:to>
          <xdr:col>8</xdr:col>
          <xdr:colOff>57150</xdr:colOff>
          <xdr:row>26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33</xdr:row>
          <xdr:rowOff>180975</xdr:rowOff>
        </xdr:from>
        <xdr:to>
          <xdr:col>1</xdr:col>
          <xdr:colOff>76200</xdr:colOff>
          <xdr:row>35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34</xdr:row>
          <xdr:rowOff>161925</xdr:rowOff>
        </xdr:from>
        <xdr:to>
          <xdr:col>1</xdr:col>
          <xdr:colOff>76200</xdr:colOff>
          <xdr:row>36</xdr:row>
          <xdr:rowOff>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35</xdr:row>
          <xdr:rowOff>161925</xdr:rowOff>
        </xdr:from>
        <xdr:to>
          <xdr:col>1</xdr:col>
          <xdr:colOff>76200</xdr:colOff>
          <xdr:row>37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171450</xdr:rowOff>
        </xdr:from>
        <xdr:to>
          <xdr:col>1</xdr:col>
          <xdr:colOff>57150</xdr:colOff>
          <xdr:row>41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171450</xdr:rowOff>
        </xdr:from>
        <xdr:to>
          <xdr:col>1</xdr:col>
          <xdr:colOff>57150</xdr:colOff>
          <xdr:row>42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171450</xdr:rowOff>
        </xdr:from>
        <xdr:to>
          <xdr:col>1</xdr:col>
          <xdr:colOff>57150</xdr:colOff>
          <xdr:row>43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171450</xdr:rowOff>
        </xdr:from>
        <xdr:to>
          <xdr:col>7</xdr:col>
          <xdr:colOff>76200</xdr:colOff>
          <xdr:row>35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171450</xdr:rowOff>
        </xdr:from>
        <xdr:to>
          <xdr:col>7</xdr:col>
          <xdr:colOff>76200</xdr:colOff>
          <xdr:row>36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171450</xdr:rowOff>
        </xdr:from>
        <xdr:to>
          <xdr:col>7</xdr:col>
          <xdr:colOff>76200</xdr:colOff>
          <xdr:row>37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35</xdr:row>
          <xdr:rowOff>180975</xdr:rowOff>
        </xdr:from>
        <xdr:to>
          <xdr:col>14</xdr:col>
          <xdr:colOff>66675</xdr:colOff>
          <xdr:row>37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36</xdr:row>
          <xdr:rowOff>171450</xdr:rowOff>
        </xdr:from>
        <xdr:to>
          <xdr:col>14</xdr:col>
          <xdr:colOff>66675</xdr:colOff>
          <xdr:row>39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37</xdr:row>
          <xdr:rowOff>171450</xdr:rowOff>
        </xdr:from>
        <xdr:to>
          <xdr:col>14</xdr:col>
          <xdr:colOff>66675</xdr:colOff>
          <xdr:row>40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39</xdr:row>
          <xdr:rowOff>171450</xdr:rowOff>
        </xdr:from>
        <xdr:to>
          <xdr:col>14</xdr:col>
          <xdr:colOff>66675</xdr:colOff>
          <xdr:row>41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40</xdr:row>
          <xdr:rowOff>161925</xdr:rowOff>
        </xdr:from>
        <xdr:to>
          <xdr:col>14</xdr:col>
          <xdr:colOff>76200</xdr:colOff>
          <xdr:row>42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41</xdr:row>
          <xdr:rowOff>171450</xdr:rowOff>
        </xdr:from>
        <xdr:to>
          <xdr:col>14</xdr:col>
          <xdr:colOff>76200</xdr:colOff>
          <xdr:row>43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25</xdr:row>
          <xdr:rowOff>171450</xdr:rowOff>
        </xdr:from>
        <xdr:to>
          <xdr:col>14</xdr:col>
          <xdr:colOff>66675</xdr:colOff>
          <xdr:row>27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26</xdr:row>
          <xdr:rowOff>171450</xdr:rowOff>
        </xdr:from>
        <xdr:to>
          <xdr:col>14</xdr:col>
          <xdr:colOff>66675</xdr:colOff>
          <xdr:row>28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171450</xdr:rowOff>
        </xdr:from>
        <xdr:to>
          <xdr:col>1</xdr:col>
          <xdr:colOff>66675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171450</xdr:rowOff>
        </xdr:from>
        <xdr:to>
          <xdr:col>1</xdr:col>
          <xdr:colOff>66675</xdr:colOff>
          <xdr:row>20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171450</xdr:rowOff>
        </xdr:from>
        <xdr:to>
          <xdr:col>6</xdr:col>
          <xdr:colOff>66675</xdr:colOff>
          <xdr:row>10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171450</xdr:rowOff>
        </xdr:from>
        <xdr:to>
          <xdr:col>9</xdr:col>
          <xdr:colOff>76200</xdr:colOff>
          <xdr:row>10</xdr:row>
          <xdr:rowOff>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8</xdr:row>
          <xdr:rowOff>171450</xdr:rowOff>
        </xdr:from>
        <xdr:to>
          <xdr:col>21</xdr:col>
          <xdr:colOff>66675</xdr:colOff>
          <xdr:row>10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171450</xdr:rowOff>
        </xdr:from>
        <xdr:to>
          <xdr:col>24</xdr:col>
          <xdr:colOff>76200</xdr:colOff>
          <xdr:row>10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17</xdr:row>
          <xdr:rowOff>152400</xdr:rowOff>
        </xdr:from>
        <xdr:to>
          <xdr:col>21</xdr:col>
          <xdr:colOff>66675</xdr:colOff>
          <xdr:row>18</xdr:row>
          <xdr:rowOff>180975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17</xdr:row>
          <xdr:rowOff>171450</xdr:rowOff>
        </xdr:from>
        <xdr:to>
          <xdr:col>24</xdr:col>
          <xdr:colOff>66675</xdr:colOff>
          <xdr:row>19</xdr:row>
          <xdr:rowOff>9525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24</xdr:row>
          <xdr:rowOff>161925</xdr:rowOff>
        </xdr:from>
        <xdr:to>
          <xdr:col>21</xdr:col>
          <xdr:colOff>76200</xdr:colOff>
          <xdr:row>26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24</xdr:row>
          <xdr:rowOff>171450</xdr:rowOff>
        </xdr:from>
        <xdr:to>
          <xdr:col>24</xdr:col>
          <xdr:colOff>66675</xdr:colOff>
          <xdr:row>26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20</xdr:row>
          <xdr:rowOff>180975</xdr:rowOff>
        </xdr:from>
        <xdr:to>
          <xdr:col>9</xdr:col>
          <xdr:colOff>66675</xdr:colOff>
          <xdr:row>22</xdr:row>
          <xdr:rowOff>19050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161925</xdr:rowOff>
        </xdr:from>
        <xdr:to>
          <xdr:col>6</xdr:col>
          <xdr:colOff>85725</xdr:colOff>
          <xdr:row>22</xdr:row>
          <xdr:rowOff>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180975</xdr:rowOff>
        </xdr:from>
        <xdr:to>
          <xdr:col>9</xdr:col>
          <xdr:colOff>76200</xdr:colOff>
          <xdr:row>15</xdr:row>
          <xdr:rowOff>19050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171450</xdr:rowOff>
        </xdr:from>
        <xdr:to>
          <xdr:col>6</xdr:col>
          <xdr:colOff>85725</xdr:colOff>
          <xdr:row>15</xdr:row>
          <xdr:rowOff>9525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21</xdr:row>
          <xdr:rowOff>171450</xdr:rowOff>
        </xdr:from>
        <xdr:to>
          <xdr:col>14</xdr:col>
          <xdr:colOff>85725</xdr:colOff>
          <xdr:row>23</xdr:row>
          <xdr:rowOff>9525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22</xdr:row>
          <xdr:rowOff>171450</xdr:rowOff>
        </xdr:from>
        <xdr:to>
          <xdr:col>14</xdr:col>
          <xdr:colOff>85725</xdr:colOff>
          <xdr:row>24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21</xdr:row>
          <xdr:rowOff>171450</xdr:rowOff>
        </xdr:from>
        <xdr:to>
          <xdr:col>20</xdr:col>
          <xdr:colOff>66675</xdr:colOff>
          <xdr:row>23</xdr:row>
          <xdr:rowOff>9525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29</xdr:row>
          <xdr:rowOff>171450</xdr:rowOff>
        </xdr:from>
        <xdr:to>
          <xdr:col>18</xdr:col>
          <xdr:colOff>66675</xdr:colOff>
          <xdr:row>31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171450</xdr:rowOff>
        </xdr:from>
        <xdr:to>
          <xdr:col>14</xdr:col>
          <xdr:colOff>76200</xdr:colOff>
          <xdr:row>34</xdr:row>
          <xdr:rowOff>9525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28</xdr:row>
          <xdr:rowOff>171450</xdr:rowOff>
        </xdr:from>
        <xdr:to>
          <xdr:col>21</xdr:col>
          <xdr:colOff>76200</xdr:colOff>
          <xdr:row>30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28</xdr:row>
          <xdr:rowOff>171450</xdr:rowOff>
        </xdr:from>
        <xdr:to>
          <xdr:col>24</xdr:col>
          <xdr:colOff>76200</xdr:colOff>
          <xdr:row>30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28</xdr:row>
          <xdr:rowOff>171450</xdr:rowOff>
        </xdr:from>
        <xdr:to>
          <xdr:col>8</xdr:col>
          <xdr:colOff>57150</xdr:colOff>
          <xdr:row>30</xdr:row>
          <xdr:rowOff>9525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32</xdr:row>
          <xdr:rowOff>171450</xdr:rowOff>
        </xdr:from>
        <xdr:to>
          <xdr:col>8</xdr:col>
          <xdr:colOff>66675</xdr:colOff>
          <xdr:row>34</xdr:row>
          <xdr:rowOff>9525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32</xdr:row>
          <xdr:rowOff>161925</xdr:rowOff>
        </xdr:from>
        <xdr:to>
          <xdr:col>10</xdr:col>
          <xdr:colOff>247650</xdr:colOff>
          <xdr:row>34</xdr:row>
          <xdr:rowOff>9525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37</xdr:row>
          <xdr:rowOff>180975</xdr:rowOff>
        </xdr:from>
        <xdr:to>
          <xdr:col>11</xdr:col>
          <xdr:colOff>85725</xdr:colOff>
          <xdr:row>40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37</xdr:row>
          <xdr:rowOff>180975</xdr:rowOff>
        </xdr:from>
        <xdr:to>
          <xdr:col>8</xdr:col>
          <xdr:colOff>57150</xdr:colOff>
          <xdr:row>40</xdr:row>
          <xdr:rowOff>9525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34</xdr:row>
          <xdr:rowOff>171450</xdr:rowOff>
        </xdr:from>
        <xdr:to>
          <xdr:col>21</xdr:col>
          <xdr:colOff>76200</xdr:colOff>
          <xdr:row>36</xdr:row>
          <xdr:rowOff>9525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34</xdr:row>
          <xdr:rowOff>171450</xdr:rowOff>
        </xdr:from>
        <xdr:to>
          <xdr:col>24</xdr:col>
          <xdr:colOff>76200</xdr:colOff>
          <xdr:row>36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36</xdr:row>
          <xdr:rowOff>161925</xdr:rowOff>
        </xdr:from>
        <xdr:to>
          <xdr:col>1</xdr:col>
          <xdr:colOff>66675</xdr:colOff>
          <xdr:row>38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180975</xdr:rowOff>
        </xdr:from>
        <xdr:to>
          <xdr:col>1</xdr:col>
          <xdr:colOff>57150</xdr:colOff>
          <xdr:row>44</xdr:row>
          <xdr:rowOff>19050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180975</xdr:rowOff>
        </xdr:from>
        <xdr:to>
          <xdr:col>22</xdr:col>
          <xdr:colOff>66675</xdr:colOff>
          <xdr:row>34</xdr:row>
          <xdr:rowOff>19050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26</xdr:row>
          <xdr:rowOff>171450</xdr:rowOff>
        </xdr:from>
        <xdr:to>
          <xdr:col>9</xdr:col>
          <xdr:colOff>57150</xdr:colOff>
          <xdr:row>28</xdr:row>
          <xdr:rowOff>9525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171450</xdr:rowOff>
        </xdr:from>
        <xdr:to>
          <xdr:col>6</xdr:col>
          <xdr:colOff>76200</xdr:colOff>
          <xdr:row>28</xdr:row>
          <xdr:rowOff>9525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171450</xdr:rowOff>
        </xdr:from>
        <xdr:to>
          <xdr:col>1</xdr:col>
          <xdr:colOff>66675</xdr:colOff>
          <xdr:row>26</xdr:row>
          <xdr:rowOff>9525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15</xdr:row>
          <xdr:rowOff>171450</xdr:rowOff>
        </xdr:from>
        <xdr:to>
          <xdr:col>14</xdr:col>
          <xdr:colOff>66675</xdr:colOff>
          <xdr:row>17</xdr:row>
          <xdr:rowOff>9525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30</xdr:row>
          <xdr:rowOff>171450</xdr:rowOff>
        </xdr:from>
        <xdr:to>
          <xdr:col>1</xdr:col>
          <xdr:colOff>76200</xdr:colOff>
          <xdr:row>32</xdr:row>
          <xdr:rowOff>9525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</xdr:row>
          <xdr:rowOff>171450</xdr:rowOff>
        </xdr:from>
        <xdr:to>
          <xdr:col>7</xdr:col>
          <xdr:colOff>76200</xdr:colOff>
          <xdr:row>5</xdr:row>
          <xdr:rowOff>19050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142875</xdr:rowOff>
        </xdr:from>
        <xdr:to>
          <xdr:col>1</xdr:col>
          <xdr:colOff>57150</xdr:colOff>
          <xdr:row>5</xdr:row>
          <xdr:rowOff>47625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60</xdr:row>
          <xdr:rowOff>9525</xdr:rowOff>
        </xdr:from>
        <xdr:to>
          <xdr:col>1</xdr:col>
          <xdr:colOff>123825</xdr:colOff>
          <xdr:row>61</xdr:row>
          <xdr:rowOff>9525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63</xdr:row>
          <xdr:rowOff>9525</xdr:rowOff>
        </xdr:from>
        <xdr:to>
          <xdr:col>1</xdr:col>
          <xdr:colOff>123825</xdr:colOff>
          <xdr:row>63</xdr:row>
          <xdr:rowOff>228600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66</xdr:row>
          <xdr:rowOff>9525</xdr:rowOff>
        </xdr:from>
        <xdr:to>
          <xdr:col>1</xdr:col>
          <xdr:colOff>123825</xdr:colOff>
          <xdr:row>66</xdr:row>
          <xdr:rowOff>228600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62</xdr:row>
          <xdr:rowOff>9525</xdr:rowOff>
        </xdr:from>
        <xdr:to>
          <xdr:col>1</xdr:col>
          <xdr:colOff>123825</xdr:colOff>
          <xdr:row>62</xdr:row>
          <xdr:rowOff>228600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61</xdr:row>
          <xdr:rowOff>9525</xdr:rowOff>
        </xdr:from>
        <xdr:to>
          <xdr:col>1</xdr:col>
          <xdr:colOff>123825</xdr:colOff>
          <xdr:row>62</xdr:row>
          <xdr:rowOff>9525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65</xdr:row>
          <xdr:rowOff>28575</xdr:rowOff>
        </xdr:from>
        <xdr:to>
          <xdr:col>1</xdr:col>
          <xdr:colOff>123825</xdr:colOff>
          <xdr:row>66</xdr:row>
          <xdr:rowOff>19050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72</xdr:row>
          <xdr:rowOff>19050</xdr:rowOff>
        </xdr:from>
        <xdr:to>
          <xdr:col>1</xdr:col>
          <xdr:colOff>133350</xdr:colOff>
          <xdr:row>73</xdr:row>
          <xdr:rowOff>9525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73</xdr:row>
          <xdr:rowOff>0</xdr:rowOff>
        </xdr:from>
        <xdr:to>
          <xdr:col>1</xdr:col>
          <xdr:colOff>133350</xdr:colOff>
          <xdr:row>73</xdr:row>
          <xdr:rowOff>228600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75</xdr:row>
          <xdr:rowOff>19050</xdr:rowOff>
        </xdr:from>
        <xdr:to>
          <xdr:col>1</xdr:col>
          <xdr:colOff>133350</xdr:colOff>
          <xdr:row>76</xdr:row>
          <xdr:rowOff>9525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76</xdr:row>
          <xdr:rowOff>19050</xdr:rowOff>
        </xdr:from>
        <xdr:to>
          <xdr:col>1</xdr:col>
          <xdr:colOff>133350</xdr:colOff>
          <xdr:row>77</xdr:row>
          <xdr:rowOff>9525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69</xdr:row>
          <xdr:rowOff>19050</xdr:rowOff>
        </xdr:from>
        <xdr:to>
          <xdr:col>1</xdr:col>
          <xdr:colOff>123825</xdr:colOff>
          <xdr:row>70</xdr:row>
          <xdr:rowOff>9525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70</xdr:row>
          <xdr:rowOff>19050</xdr:rowOff>
        </xdr:from>
        <xdr:to>
          <xdr:col>1</xdr:col>
          <xdr:colOff>123825</xdr:colOff>
          <xdr:row>71</xdr:row>
          <xdr:rowOff>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67</xdr:row>
          <xdr:rowOff>9525</xdr:rowOff>
        </xdr:from>
        <xdr:to>
          <xdr:col>1</xdr:col>
          <xdr:colOff>123825</xdr:colOff>
          <xdr:row>67</xdr:row>
          <xdr:rowOff>228600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80</xdr:row>
          <xdr:rowOff>19050</xdr:rowOff>
        </xdr:from>
        <xdr:to>
          <xdr:col>1</xdr:col>
          <xdr:colOff>133350</xdr:colOff>
          <xdr:row>81</xdr:row>
          <xdr:rowOff>9525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81</xdr:row>
          <xdr:rowOff>19050</xdr:rowOff>
        </xdr:from>
        <xdr:to>
          <xdr:col>1</xdr:col>
          <xdr:colOff>133350</xdr:colOff>
          <xdr:row>82</xdr:row>
          <xdr:rowOff>9525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79</xdr:row>
          <xdr:rowOff>28575</xdr:rowOff>
        </xdr:from>
        <xdr:to>
          <xdr:col>1</xdr:col>
          <xdr:colOff>133350</xdr:colOff>
          <xdr:row>80</xdr:row>
          <xdr:rowOff>19050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78</xdr:row>
          <xdr:rowOff>19050</xdr:rowOff>
        </xdr:from>
        <xdr:to>
          <xdr:col>1</xdr:col>
          <xdr:colOff>123825</xdr:colOff>
          <xdr:row>79</xdr:row>
          <xdr:rowOff>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83</xdr:row>
          <xdr:rowOff>19050</xdr:rowOff>
        </xdr:from>
        <xdr:to>
          <xdr:col>1</xdr:col>
          <xdr:colOff>114300</xdr:colOff>
          <xdr:row>84</xdr:row>
          <xdr:rowOff>9525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84</xdr:row>
          <xdr:rowOff>28575</xdr:rowOff>
        </xdr:from>
        <xdr:to>
          <xdr:col>1</xdr:col>
          <xdr:colOff>114300</xdr:colOff>
          <xdr:row>85</xdr:row>
          <xdr:rowOff>19050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85</xdr:row>
          <xdr:rowOff>19050</xdr:rowOff>
        </xdr:from>
        <xdr:to>
          <xdr:col>1</xdr:col>
          <xdr:colOff>114300</xdr:colOff>
          <xdr:row>86</xdr:row>
          <xdr:rowOff>9525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86</xdr:row>
          <xdr:rowOff>9525</xdr:rowOff>
        </xdr:from>
        <xdr:to>
          <xdr:col>1</xdr:col>
          <xdr:colOff>104775</xdr:colOff>
          <xdr:row>87</xdr:row>
          <xdr:rowOff>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88</xdr:row>
          <xdr:rowOff>47625</xdr:rowOff>
        </xdr:from>
        <xdr:to>
          <xdr:col>1</xdr:col>
          <xdr:colOff>104775</xdr:colOff>
          <xdr:row>89</xdr:row>
          <xdr:rowOff>38100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89</xdr:row>
          <xdr:rowOff>47625</xdr:rowOff>
        </xdr:from>
        <xdr:to>
          <xdr:col>1</xdr:col>
          <xdr:colOff>104775</xdr:colOff>
          <xdr:row>90</xdr:row>
          <xdr:rowOff>38100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91</xdr:row>
          <xdr:rowOff>47625</xdr:rowOff>
        </xdr:from>
        <xdr:to>
          <xdr:col>1</xdr:col>
          <xdr:colOff>104775</xdr:colOff>
          <xdr:row>92</xdr:row>
          <xdr:rowOff>38100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92</xdr:row>
          <xdr:rowOff>38100</xdr:rowOff>
        </xdr:from>
        <xdr:to>
          <xdr:col>1</xdr:col>
          <xdr:colOff>104775</xdr:colOff>
          <xdr:row>93</xdr:row>
          <xdr:rowOff>28575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93</xdr:row>
          <xdr:rowOff>28575</xdr:rowOff>
        </xdr:from>
        <xdr:to>
          <xdr:col>1</xdr:col>
          <xdr:colOff>104775</xdr:colOff>
          <xdr:row>94</xdr:row>
          <xdr:rowOff>19050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95</xdr:row>
          <xdr:rowOff>38100</xdr:rowOff>
        </xdr:from>
        <xdr:to>
          <xdr:col>1</xdr:col>
          <xdr:colOff>95250</xdr:colOff>
          <xdr:row>96</xdr:row>
          <xdr:rowOff>28575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22</xdr:row>
          <xdr:rowOff>171450</xdr:rowOff>
        </xdr:from>
        <xdr:to>
          <xdr:col>11</xdr:col>
          <xdr:colOff>47625</xdr:colOff>
          <xdr:row>24</xdr:row>
          <xdr:rowOff>9525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4</xdr:row>
      <xdr:rowOff>114300</xdr:rowOff>
    </xdr:from>
    <xdr:to>
      <xdr:col>4</xdr:col>
      <xdr:colOff>434789</xdr:colOff>
      <xdr:row>14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876300"/>
          <a:ext cx="5159189" cy="1800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27</xdr:row>
      <xdr:rowOff>185206</xdr:rowOff>
    </xdr:from>
    <xdr:to>
      <xdr:col>4</xdr:col>
      <xdr:colOff>387164</xdr:colOff>
      <xdr:row>33</xdr:row>
      <xdr:rowOff>114054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450" y="6481231"/>
          <a:ext cx="5063939" cy="11099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8</xdr:row>
      <xdr:rowOff>47625</xdr:rowOff>
    </xdr:from>
    <xdr:to>
      <xdr:col>8</xdr:col>
      <xdr:colOff>438150</xdr:colOff>
      <xdr:row>43</xdr:row>
      <xdr:rowOff>92263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1571625"/>
          <a:ext cx="5229225" cy="671213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48</xdr:row>
      <xdr:rowOff>114301</xdr:rowOff>
    </xdr:from>
    <xdr:to>
      <xdr:col>8</xdr:col>
      <xdr:colOff>514980</xdr:colOff>
      <xdr:row>77</xdr:row>
      <xdr:rowOff>48261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9258301"/>
          <a:ext cx="5334630" cy="54584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38100</xdr:rowOff>
    </xdr:from>
    <xdr:to>
      <xdr:col>4</xdr:col>
      <xdr:colOff>353180</xdr:colOff>
      <xdr:row>8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466725"/>
          <a:ext cx="1829555" cy="733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0</xdr:row>
      <xdr:rowOff>9525</xdr:rowOff>
    </xdr:from>
    <xdr:to>
      <xdr:col>10</xdr:col>
      <xdr:colOff>133350</xdr:colOff>
      <xdr:row>5</xdr:row>
      <xdr:rowOff>17216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9525"/>
          <a:ext cx="5362575" cy="9601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0</xdr:row>
      <xdr:rowOff>57150</xdr:rowOff>
    </xdr:from>
    <xdr:to>
      <xdr:col>4</xdr:col>
      <xdr:colOff>581310</xdr:colOff>
      <xdr:row>2</xdr:row>
      <xdr:rowOff>133410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5" y="57150"/>
          <a:ext cx="2038635" cy="4667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1</xdr:row>
      <xdr:rowOff>57150</xdr:rowOff>
    </xdr:from>
    <xdr:to>
      <xdr:col>5</xdr:col>
      <xdr:colOff>76485</xdr:colOff>
      <xdr:row>3</xdr:row>
      <xdr:rowOff>95310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" y="219075"/>
          <a:ext cx="2038635" cy="4286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5</xdr:row>
      <xdr:rowOff>76199</xdr:rowOff>
    </xdr:from>
    <xdr:to>
      <xdr:col>10</xdr:col>
      <xdr:colOff>403356</xdr:colOff>
      <xdr:row>45</xdr:row>
      <xdr:rowOff>28575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028699"/>
          <a:ext cx="6480306" cy="75723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19050</xdr:rowOff>
    </xdr:from>
    <xdr:to>
      <xdr:col>3</xdr:col>
      <xdr:colOff>755</xdr:colOff>
      <xdr:row>4</xdr:row>
      <xdr:rowOff>180975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1829555" cy="7334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48</xdr:row>
      <xdr:rowOff>19050</xdr:rowOff>
    </xdr:from>
    <xdr:ext cx="1829555" cy="73342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1829555" cy="733425"/>
        </a:xfrm>
        <a:prstGeom prst="rect">
          <a:avLst/>
        </a:prstGeom>
      </xdr:spPr>
    </xdr:pic>
    <xdr:clientData/>
  </xdr:oneCellAnchor>
  <xdr:twoCellAnchor editAs="oneCell">
    <xdr:from>
      <xdr:col>0</xdr:col>
      <xdr:colOff>85725</xdr:colOff>
      <xdr:row>52</xdr:row>
      <xdr:rowOff>133350</xdr:rowOff>
    </xdr:from>
    <xdr:to>
      <xdr:col>10</xdr:col>
      <xdr:colOff>505649</xdr:colOff>
      <xdr:row>87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" y="10039350"/>
          <a:ext cx="6515924" cy="65722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9</xdr:row>
      <xdr:rowOff>56798</xdr:rowOff>
    </xdr:from>
    <xdr:to>
      <xdr:col>7</xdr:col>
      <xdr:colOff>400050</xdr:colOff>
      <xdr:row>38</xdr:row>
      <xdr:rowOff>48701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771298"/>
          <a:ext cx="4086225" cy="551640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180975</xdr:rowOff>
    </xdr:from>
    <xdr:to>
      <xdr:col>4</xdr:col>
      <xdr:colOff>4068</xdr:colOff>
      <xdr:row>4</xdr:row>
      <xdr:rowOff>158612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80975"/>
          <a:ext cx="1832868" cy="73963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10</xdr:col>
      <xdr:colOff>419964</xdr:colOff>
      <xdr:row>34</xdr:row>
      <xdr:rowOff>67136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" y="3238500"/>
          <a:ext cx="6192114" cy="330563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es\Estimate%20Request%20Form\Estimate%20Request%20Fo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 Form"/>
      <sheetName val="Reps"/>
      <sheetName val="Data"/>
      <sheetName val="Sheet3"/>
      <sheetName val="Client List"/>
      <sheetName val="Sheet2"/>
      <sheetName val="LVL Request"/>
      <sheetName val="Sub Request"/>
      <sheetName val="PDFFiles"/>
      <sheetName val="Street"/>
      <sheetName val="Sheet1"/>
    </sheetNames>
    <sheetDataSet>
      <sheetData sheetId="0"/>
      <sheetData sheetId="1"/>
      <sheetData sheetId="2">
        <row r="15">
          <cell r="A15" t="str">
            <v>150 Linea</v>
          </cell>
        </row>
        <row r="16">
          <cell r="A16" t="str">
            <v>180 Linea</v>
          </cell>
        </row>
        <row r="17">
          <cell r="A17" t="str">
            <v>Rad BB</v>
          </cell>
        </row>
        <row r="18">
          <cell r="A18" t="str">
            <v>Rad Rus</v>
          </cell>
        </row>
        <row r="19">
          <cell r="A19" t="str">
            <v>Cedar BB BS</v>
          </cell>
        </row>
        <row r="20">
          <cell r="A20" t="str">
            <v>Cedar BB DR</v>
          </cell>
        </row>
        <row r="21">
          <cell r="A21" t="str">
            <v>Cedar Rus BS</v>
          </cell>
        </row>
        <row r="22">
          <cell r="A22" t="str">
            <v>Cedar Rus DR</v>
          </cell>
        </row>
        <row r="23">
          <cell r="A23" t="str">
            <v>Rad BS</v>
          </cell>
        </row>
        <row r="24">
          <cell r="A24" t="str">
            <v>Ply Shad Clad</v>
          </cell>
        </row>
        <row r="25">
          <cell r="A25" t="str">
            <v>Hardie Sheet</v>
          </cell>
        </row>
        <row r="26">
          <cell r="A26" t="str">
            <v>Palliside</v>
          </cell>
        </row>
        <row r="27">
          <cell r="A27" t="str">
            <v>Corr i</v>
          </cell>
        </row>
        <row r="28">
          <cell r="A28" t="str">
            <v>Titan</v>
          </cell>
        </row>
        <row r="29">
          <cell r="A29" t="str">
            <v>Eterpan</v>
          </cell>
        </row>
        <row r="30">
          <cell r="A30" t="str">
            <v>Other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.xml"/><Relationship Id="rId21" Type="http://schemas.openxmlformats.org/officeDocument/2006/relationships/vmlDrawing" Target="../drawings/vmlDrawing1.vml"/><Relationship Id="rId42" Type="http://schemas.openxmlformats.org/officeDocument/2006/relationships/ctrlProp" Target="../ctrlProps/ctrlProp21.xml"/><Relationship Id="rId63" Type="http://schemas.openxmlformats.org/officeDocument/2006/relationships/ctrlProp" Target="../ctrlProps/ctrlProp42.xml"/><Relationship Id="rId84" Type="http://schemas.openxmlformats.org/officeDocument/2006/relationships/ctrlProp" Target="../ctrlProps/ctrlProp63.xml"/><Relationship Id="rId138" Type="http://schemas.openxmlformats.org/officeDocument/2006/relationships/ctrlProp" Target="../ctrlProps/ctrlProp117.xml"/><Relationship Id="rId107" Type="http://schemas.openxmlformats.org/officeDocument/2006/relationships/ctrlProp" Target="../ctrlProps/ctrlProp86.xml"/><Relationship Id="rId11" Type="http://schemas.openxmlformats.org/officeDocument/2006/relationships/hyperlink" Target="mailto:sales@elitedoors.net.nz" TargetMode="External"/><Relationship Id="rId32" Type="http://schemas.openxmlformats.org/officeDocument/2006/relationships/ctrlProp" Target="../ctrlProps/ctrlProp11.xml"/><Relationship Id="rId37" Type="http://schemas.openxmlformats.org/officeDocument/2006/relationships/ctrlProp" Target="../ctrlProps/ctrlProp16.xml"/><Relationship Id="rId53" Type="http://schemas.openxmlformats.org/officeDocument/2006/relationships/ctrlProp" Target="../ctrlProps/ctrlProp32.xml"/><Relationship Id="rId58" Type="http://schemas.openxmlformats.org/officeDocument/2006/relationships/ctrlProp" Target="../ctrlProps/ctrlProp37.xml"/><Relationship Id="rId74" Type="http://schemas.openxmlformats.org/officeDocument/2006/relationships/ctrlProp" Target="../ctrlProps/ctrlProp53.xml"/><Relationship Id="rId79" Type="http://schemas.openxmlformats.org/officeDocument/2006/relationships/ctrlProp" Target="../ctrlProps/ctrlProp58.xml"/><Relationship Id="rId102" Type="http://schemas.openxmlformats.org/officeDocument/2006/relationships/ctrlProp" Target="../ctrlProps/ctrlProp81.xml"/><Relationship Id="rId123" Type="http://schemas.openxmlformats.org/officeDocument/2006/relationships/ctrlProp" Target="../ctrlProps/ctrlProp102.xml"/><Relationship Id="rId128" Type="http://schemas.openxmlformats.org/officeDocument/2006/relationships/ctrlProp" Target="../ctrlProps/ctrlProp107.xml"/><Relationship Id="rId5" Type="http://schemas.openxmlformats.org/officeDocument/2006/relationships/hyperlink" Target="mailto:akl.cutandbend@unitedsteel.co.nz" TargetMode="External"/><Relationship Id="rId90" Type="http://schemas.openxmlformats.org/officeDocument/2006/relationships/ctrlProp" Target="../ctrlProps/ctrlProp69.xml"/><Relationship Id="rId95" Type="http://schemas.openxmlformats.org/officeDocument/2006/relationships/ctrlProp" Target="../ctrlProps/ctrlProp74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Relationship Id="rId43" Type="http://schemas.openxmlformats.org/officeDocument/2006/relationships/ctrlProp" Target="../ctrlProps/ctrlProp22.xml"/><Relationship Id="rId48" Type="http://schemas.openxmlformats.org/officeDocument/2006/relationships/ctrlProp" Target="../ctrlProps/ctrlProp27.xml"/><Relationship Id="rId64" Type="http://schemas.openxmlformats.org/officeDocument/2006/relationships/ctrlProp" Target="../ctrlProps/ctrlProp43.xml"/><Relationship Id="rId69" Type="http://schemas.openxmlformats.org/officeDocument/2006/relationships/ctrlProp" Target="../ctrlProps/ctrlProp48.xml"/><Relationship Id="rId113" Type="http://schemas.openxmlformats.org/officeDocument/2006/relationships/ctrlProp" Target="../ctrlProps/ctrlProp92.xml"/><Relationship Id="rId118" Type="http://schemas.openxmlformats.org/officeDocument/2006/relationships/ctrlProp" Target="../ctrlProps/ctrlProp97.xml"/><Relationship Id="rId134" Type="http://schemas.openxmlformats.org/officeDocument/2006/relationships/ctrlProp" Target="../ctrlProps/ctrlProp113.xml"/><Relationship Id="rId139" Type="http://schemas.openxmlformats.org/officeDocument/2006/relationships/ctrlProp" Target="../ctrlProps/ctrlProp118.xml"/><Relationship Id="rId80" Type="http://schemas.openxmlformats.org/officeDocument/2006/relationships/ctrlProp" Target="../ctrlProps/ctrlProp59.xml"/><Relationship Id="rId85" Type="http://schemas.openxmlformats.org/officeDocument/2006/relationships/ctrlProp" Target="../ctrlProps/ctrlProp64.xml"/><Relationship Id="rId12" Type="http://schemas.openxmlformats.org/officeDocument/2006/relationships/hyperlink" Target="mailto:jo@nationwideprehung.co.nz" TargetMode="External"/><Relationship Id="rId17" Type="http://schemas.openxmlformats.org/officeDocument/2006/relationships/hyperlink" Target="mailto:lewis.marshall@abodo.co.nz" TargetMode="External"/><Relationship Id="rId33" Type="http://schemas.openxmlformats.org/officeDocument/2006/relationships/ctrlProp" Target="../ctrlProps/ctrlProp12.xml"/><Relationship Id="rId38" Type="http://schemas.openxmlformats.org/officeDocument/2006/relationships/ctrlProp" Target="../ctrlProps/ctrlProp17.xml"/><Relationship Id="rId59" Type="http://schemas.openxmlformats.org/officeDocument/2006/relationships/ctrlProp" Target="../ctrlProps/ctrlProp38.xml"/><Relationship Id="rId103" Type="http://schemas.openxmlformats.org/officeDocument/2006/relationships/ctrlProp" Target="../ctrlProps/ctrlProp82.xml"/><Relationship Id="rId108" Type="http://schemas.openxmlformats.org/officeDocument/2006/relationships/ctrlProp" Target="../ctrlProps/ctrlProp87.xml"/><Relationship Id="rId124" Type="http://schemas.openxmlformats.org/officeDocument/2006/relationships/ctrlProp" Target="../ctrlProps/ctrlProp103.xml"/><Relationship Id="rId129" Type="http://schemas.openxmlformats.org/officeDocument/2006/relationships/ctrlProp" Target="../ctrlProps/ctrlProp108.xml"/><Relationship Id="rId54" Type="http://schemas.openxmlformats.org/officeDocument/2006/relationships/ctrlProp" Target="../ctrlProps/ctrlProp33.xml"/><Relationship Id="rId70" Type="http://schemas.openxmlformats.org/officeDocument/2006/relationships/ctrlProp" Target="../ctrlProps/ctrlProp49.xml"/><Relationship Id="rId75" Type="http://schemas.openxmlformats.org/officeDocument/2006/relationships/ctrlProp" Target="../ctrlProps/ctrlProp54.xml"/><Relationship Id="rId91" Type="http://schemas.openxmlformats.org/officeDocument/2006/relationships/ctrlProp" Target="../ctrlProps/ctrlProp70.xml"/><Relationship Id="rId96" Type="http://schemas.openxmlformats.org/officeDocument/2006/relationships/ctrlProp" Target="../ctrlProps/ctrlProp75.xml"/><Relationship Id="rId140" Type="http://schemas.openxmlformats.org/officeDocument/2006/relationships/ctrlProp" Target="../ctrlProps/ctrlProp119.xml"/><Relationship Id="rId1" Type="http://schemas.openxmlformats.org/officeDocument/2006/relationships/hyperlink" Target="mailto:quotes@hillsideitm.co.nz" TargetMode="External"/><Relationship Id="rId6" Type="http://schemas.openxmlformats.org/officeDocument/2006/relationships/hyperlink" Target="mailto:QS@summitsteel.co.nz" TargetMode="External"/><Relationship Id="rId23" Type="http://schemas.openxmlformats.org/officeDocument/2006/relationships/ctrlProp" Target="../ctrlProps/ctrlProp2.xml"/><Relationship Id="rId28" Type="http://schemas.openxmlformats.org/officeDocument/2006/relationships/ctrlProp" Target="../ctrlProps/ctrlProp7.xml"/><Relationship Id="rId49" Type="http://schemas.openxmlformats.org/officeDocument/2006/relationships/ctrlProp" Target="../ctrlProps/ctrlProp28.xml"/><Relationship Id="rId114" Type="http://schemas.openxmlformats.org/officeDocument/2006/relationships/ctrlProp" Target="../ctrlProps/ctrlProp93.xml"/><Relationship Id="rId119" Type="http://schemas.openxmlformats.org/officeDocument/2006/relationships/ctrlProp" Target="../ctrlProps/ctrlProp98.xml"/><Relationship Id="rId44" Type="http://schemas.openxmlformats.org/officeDocument/2006/relationships/ctrlProp" Target="../ctrlProps/ctrlProp23.xml"/><Relationship Id="rId60" Type="http://schemas.openxmlformats.org/officeDocument/2006/relationships/ctrlProp" Target="../ctrlProps/ctrlProp39.xml"/><Relationship Id="rId65" Type="http://schemas.openxmlformats.org/officeDocument/2006/relationships/ctrlProp" Target="../ctrlProps/ctrlProp44.xml"/><Relationship Id="rId81" Type="http://schemas.openxmlformats.org/officeDocument/2006/relationships/ctrlProp" Target="../ctrlProps/ctrlProp60.xml"/><Relationship Id="rId86" Type="http://schemas.openxmlformats.org/officeDocument/2006/relationships/ctrlProp" Target="../ctrlProps/ctrlProp65.xml"/><Relationship Id="rId130" Type="http://schemas.openxmlformats.org/officeDocument/2006/relationships/ctrlProp" Target="../ctrlProps/ctrlProp109.xml"/><Relationship Id="rId135" Type="http://schemas.openxmlformats.org/officeDocument/2006/relationships/ctrlProp" Target="../ctrlProps/ctrlProp114.xml"/><Relationship Id="rId13" Type="http://schemas.openxmlformats.org/officeDocument/2006/relationships/hyperlink" Target="mailto:John.Coogan@pinkfit.co.nz" TargetMode="External"/><Relationship Id="rId18" Type="http://schemas.openxmlformats.org/officeDocument/2006/relationships/hyperlink" Target="mailto:seanh@jsctimber.co.nz" TargetMode="External"/><Relationship Id="rId39" Type="http://schemas.openxmlformats.org/officeDocument/2006/relationships/ctrlProp" Target="../ctrlProps/ctrlProp18.xml"/><Relationship Id="rId109" Type="http://schemas.openxmlformats.org/officeDocument/2006/relationships/ctrlProp" Target="../ctrlProps/ctrlProp88.xml"/><Relationship Id="rId34" Type="http://schemas.openxmlformats.org/officeDocument/2006/relationships/ctrlProp" Target="../ctrlProps/ctrlProp13.xml"/><Relationship Id="rId50" Type="http://schemas.openxmlformats.org/officeDocument/2006/relationships/ctrlProp" Target="../ctrlProps/ctrlProp29.xml"/><Relationship Id="rId55" Type="http://schemas.openxmlformats.org/officeDocument/2006/relationships/ctrlProp" Target="../ctrlProps/ctrlProp34.xml"/><Relationship Id="rId76" Type="http://schemas.openxmlformats.org/officeDocument/2006/relationships/ctrlProp" Target="../ctrlProps/ctrlProp55.xml"/><Relationship Id="rId97" Type="http://schemas.openxmlformats.org/officeDocument/2006/relationships/ctrlProp" Target="../ctrlProps/ctrlProp76.xml"/><Relationship Id="rId104" Type="http://schemas.openxmlformats.org/officeDocument/2006/relationships/ctrlProp" Target="../ctrlProps/ctrlProp83.xml"/><Relationship Id="rId120" Type="http://schemas.openxmlformats.org/officeDocument/2006/relationships/ctrlProp" Target="../ctrlProps/ctrlProp99.xml"/><Relationship Id="rId125" Type="http://schemas.openxmlformats.org/officeDocument/2006/relationships/ctrlProp" Target="../ctrlProps/ctrlProp104.xml"/><Relationship Id="rId141" Type="http://schemas.openxmlformats.org/officeDocument/2006/relationships/ctrlProp" Target="../ctrlProps/ctrlProp120.xml"/><Relationship Id="rId7" Type="http://schemas.openxmlformats.org/officeDocument/2006/relationships/hyperlink" Target="mailto:sales@domnorthshore.co.nz" TargetMode="External"/><Relationship Id="rId71" Type="http://schemas.openxmlformats.org/officeDocument/2006/relationships/ctrlProp" Target="../ctrlProps/ctrlProp50.xml"/><Relationship Id="rId92" Type="http://schemas.openxmlformats.org/officeDocument/2006/relationships/ctrlProp" Target="../ctrlProps/ctrlProp71.xml"/><Relationship Id="rId2" Type="http://schemas.openxmlformats.org/officeDocument/2006/relationships/hyperlink" Target="mailto:prenail@turangiitm.co.nz" TargetMode="External"/><Relationship Id="rId29" Type="http://schemas.openxmlformats.org/officeDocument/2006/relationships/ctrlProp" Target="../ctrlProps/ctrlProp8.xml"/><Relationship Id="rId24" Type="http://schemas.openxmlformats.org/officeDocument/2006/relationships/ctrlProp" Target="../ctrlProps/ctrlProp3.xml"/><Relationship Id="rId40" Type="http://schemas.openxmlformats.org/officeDocument/2006/relationships/ctrlProp" Target="../ctrlProps/ctrlProp19.xml"/><Relationship Id="rId45" Type="http://schemas.openxmlformats.org/officeDocument/2006/relationships/ctrlProp" Target="../ctrlProps/ctrlProp24.xml"/><Relationship Id="rId66" Type="http://schemas.openxmlformats.org/officeDocument/2006/relationships/ctrlProp" Target="../ctrlProps/ctrlProp45.xml"/><Relationship Id="rId87" Type="http://schemas.openxmlformats.org/officeDocument/2006/relationships/ctrlProp" Target="../ctrlProps/ctrlProp66.xml"/><Relationship Id="rId110" Type="http://schemas.openxmlformats.org/officeDocument/2006/relationships/ctrlProp" Target="../ctrlProps/ctrlProp89.xml"/><Relationship Id="rId115" Type="http://schemas.openxmlformats.org/officeDocument/2006/relationships/ctrlProp" Target="../ctrlProps/ctrlProp94.xml"/><Relationship Id="rId131" Type="http://schemas.openxmlformats.org/officeDocument/2006/relationships/ctrlProp" Target="../ctrlProps/ctrlProp110.xml"/><Relationship Id="rId136" Type="http://schemas.openxmlformats.org/officeDocument/2006/relationships/ctrlProp" Target="../ctrlProps/ctrlProp115.xml"/><Relationship Id="rId61" Type="http://schemas.openxmlformats.org/officeDocument/2006/relationships/ctrlProp" Target="../ctrlProps/ctrlProp40.xml"/><Relationship Id="rId82" Type="http://schemas.openxmlformats.org/officeDocument/2006/relationships/ctrlProp" Target="../ctrlProps/ctrlProp61.xml"/><Relationship Id="rId19" Type="http://schemas.openxmlformats.org/officeDocument/2006/relationships/printerSettings" Target="../printerSettings/printerSettings1.bin"/><Relationship Id="rId14" Type="http://schemas.openxmlformats.org/officeDocument/2006/relationships/hyperlink" Target="mailto:jon@naturalinsulation.co.nz" TargetMode="External"/><Relationship Id="rId30" Type="http://schemas.openxmlformats.org/officeDocument/2006/relationships/ctrlProp" Target="../ctrlProps/ctrlProp9.xml"/><Relationship Id="rId35" Type="http://schemas.openxmlformats.org/officeDocument/2006/relationships/ctrlProp" Target="../ctrlProps/ctrlProp14.xml"/><Relationship Id="rId56" Type="http://schemas.openxmlformats.org/officeDocument/2006/relationships/ctrlProp" Target="../ctrlProps/ctrlProp35.xml"/><Relationship Id="rId77" Type="http://schemas.openxmlformats.org/officeDocument/2006/relationships/ctrlProp" Target="../ctrlProps/ctrlProp56.xml"/><Relationship Id="rId100" Type="http://schemas.openxmlformats.org/officeDocument/2006/relationships/ctrlProp" Target="../ctrlProps/ctrlProp79.xml"/><Relationship Id="rId105" Type="http://schemas.openxmlformats.org/officeDocument/2006/relationships/ctrlProp" Target="../ctrlProps/ctrlProp84.xml"/><Relationship Id="rId126" Type="http://schemas.openxmlformats.org/officeDocument/2006/relationships/ctrlProp" Target="../ctrlProps/ctrlProp105.xml"/><Relationship Id="rId8" Type="http://schemas.openxmlformats.org/officeDocument/2006/relationships/hyperlink" Target="mailto:ash@visionwindows.co.nz" TargetMode="External"/><Relationship Id="rId51" Type="http://schemas.openxmlformats.org/officeDocument/2006/relationships/ctrlProp" Target="../ctrlProps/ctrlProp30.xml"/><Relationship Id="rId72" Type="http://schemas.openxmlformats.org/officeDocument/2006/relationships/ctrlProp" Target="../ctrlProps/ctrlProp51.xml"/><Relationship Id="rId93" Type="http://schemas.openxmlformats.org/officeDocument/2006/relationships/ctrlProp" Target="../ctrlProps/ctrlProp72.xml"/><Relationship Id="rId98" Type="http://schemas.openxmlformats.org/officeDocument/2006/relationships/ctrlProp" Target="../ctrlProps/ctrlProp77.xml"/><Relationship Id="rId121" Type="http://schemas.openxmlformats.org/officeDocument/2006/relationships/ctrlProp" Target="../ctrlProps/ctrlProp100.xml"/><Relationship Id="rId142" Type="http://schemas.openxmlformats.org/officeDocument/2006/relationships/ctrlProp" Target="../ctrlProps/ctrlProp121.xml"/><Relationship Id="rId3" Type="http://schemas.openxmlformats.org/officeDocument/2006/relationships/hyperlink" Target="mailto:estimate@ntml.co.nz" TargetMode="External"/><Relationship Id="rId25" Type="http://schemas.openxmlformats.org/officeDocument/2006/relationships/ctrlProp" Target="../ctrlProps/ctrlProp4.xml"/><Relationship Id="rId46" Type="http://schemas.openxmlformats.org/officeDocument/2006/relationships/ctrlProp" Target="../ctrlProps/ctrlProp25.xml"/><Relationship Id="rId67" Type="http://schemas.openxmlformats.org/officeDocument/2006/relationships/ctrlProp" Target="../ctrlProps/ctrlProp46.xml"/><Relationship Id="rId116" Type="http://schemas.openxmlformats.org/officeDocument/2006/relationships/ctrlProp" Target="../ctrlProps/ctrlProp95.xml"/><Relationship Id="rId137" Type="http://schemas.openxmlformats.org/officeDocument/2006/relationships/ctrlProp" Target="../ctrlProps/ctrlProp116.xml"/><Relationship Id="rId20" Type="http://schemas.openxmlformats.org/officeDocument/2006/relationships/drawing" Target="../drawings/drawing1.xml"/><Relationship Id="rId41" Type="http://schemas.openxmlformats.org/officeDocument/2006/relationships/ctrlProp" Target="../ctrlProps/ctrlProp20.xml"/><Relationship Id="rId62" Type="http://schemas.openxmlformats.org/officeDocument/2006/relationships/ctrlProp" Target="../ctrlProps/ctrlProp41.xml"/><Relationship Id="rId83" Type="http://schemas.openxmlformats.org/officeDocument/2006/relationships/ctrlProp" Target="../ctrlProps/ctrlProp62.xml"/><Relationship Id="rId88" Type="http://schemas.openxmlformats.org/officeDocument/2006/relationships/ctrlProp" Target="../ctrlProps/ctrlProp67.xml"/><Relationship Id="rId111" Type="http://schemas.openxmlformats.org/officeDocument/2006/relationships/ctrlProp" Target="../ctrlProps/ctrlProp90.xml"/><Relationship Id="rId132" Type="http://schemas.openxmlformats.org/officeDocument/2006/relationships/ctrlProp" Target="../ctrlProps/ctrlProp111.xml"/><Relationship Id="rId15" Type="http://schemas.openxmlformats.org/officeDocument/2006/relationships/hyperlink" Target="mailto:sales@allwin.co.nz" TargetMode="External"/><Relationship Id="rId36" Type="http://schemas.openxmlformats.org/officeDocument/2006/relationships/ctrlProp" Target="../ctrlProps/ctrlProp15.xml"/><Relationship Id="rId57" Type="http://schemas.openxmlformats.org/officeDocument/2006/relationships/ctrlProp" Target="../ctrlProps/ctrlProp36.xml"/><Relationship Id="rId106" Type="http://schemas.openxmlformats.org/officeDocument/2006/relationships/ctrlProp" Target="../ctrlProps/ctrlProp85.xml"/><Relationship Id="rId127" Type="http://schemas.openxmlformats.org/officeDocument/2006/relationships/ctrlProp" Target="../ctrlProps/ctrlProp106.xml"/><Relationship Id="rId10" Type="http://schemas.openxmlformats.org/officeDocument/2006/relationships/hyperlink" Target="mailto:info@mahurangijoinery.co.nz" TargetMode="External"/><Relationship Id="rId31" Type="http://schemas.openxmlformats.org/officeDocument/2006/relationships/ctrlProp" Target="../ctrlProps/ctrlProp10.xml"/><Relationship Id="rId52" Type="http://schemas.openxmlformats.org/officeDocument/2006/relationships/ctrlProp" Target="../ctrlProps/ctrlProp31.xml"/><Relationship Id="rId73" Type="http://schemas.openxmlformats.org/officeDocument/2006/relationships/ctrlProp" Target="../ctrlProps/ctrlProp52.xml"/><Relationship Id="rId78" Type="http://schemas.openxmlformats.org/officeDocument/2006/relationships/ctrlProp" Target="../ctrlProps/ctrlProp57.xml"/><Relationship Id="rId94" Type="http://schemas.openxmlformats.org/officeDocument/2006/relationships/ctrlProp" Target="../ctrlProps/ctrlProp73.xml"/><Relationship Id="rId99" Type="http://schemas.openxmlformats.org/officeDocument/2006/relationships/ctrlProp" Target="../ctrlProps/ctrlProp78.xml"/><Relationship Id="rId101" Type="http://schemas.openxmlformats.org/officeDocument/2006/relationships/ctrlProp" Target="../ctrlProps/ctrlProp80.xml"/><Relationship Id="rId122" Type="http://schemas.openxmlformats.org/officeDocument/2006/relationships/ctrlProp" Target="../ctrlProps/ctrlProp101.xml"/><Relationship Id="rId143" Type="http://schemas.openxmlformats.org/officeDocument/2006/relationships/ctrlProp" Target="../ctrlProps/ctrlProp122.xml"/><Relationship Id="rId4" Type="http://schemas.openxmlformats.org/officeDocument/2006/relationships/hyperlink" Target="mailto:plans@dayleitm.co.nz" TargetMode="External"/><Relationship Id="rId9" Type="http://schemas.openxmlformats.org/officeDocument/2006/relationships/hyperlink" Target="mailto:trish.shirley@doorways.co.nz" TargetMode="External"/><Relationship Id="rId26" Type="http://schemas.openxmlformats.org/officeDocument/2006/relationships/ctrlProp" Target="../ctrlProps/ctrlProp5.xml"/><Relationship Id="rId47" Type="http://schemas.openxmlformats.org/officeDocument/2006/relationships/ctrlProp" Target="../ctrlProps/ctrlProp26.xml"/><Relationship Id="rId68" Type="http://schemas.openxmlformats.org/officeDocument/2006/relationships/ctrlProp" Target="../ctrlProps/ctrlProp47.xml"/><Relationship Id="rId89" Type="http://schemas.openxmlformats.org/officeDocument/2006/relationships/ctrlProp" Target="../ctrlProps/ctrlProp68.xml"/><Relationship Id="rId112" Type="http://schemas.openxmlformats.org/officeDocument/2006/relationships/ctrlProp" Target="../ctrlProps/ctrlProp91.xml"/><Relationship Id="rId133" Type="http://schemas.openxmlformats.org/officeDocument/2006/relationships/ctrlProp" Target="../ctrlProps/ctrlProp112.xml"/><Relationship Id="rId16" Type="http://schemas.openxmlformats.org/officeDocument/2006/relationships/hyperlink" Target="mailto:dan@rosenfeldkidson.co.nz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trish.shirley@doorways.co.nz" TargetMode="External"/><Relationship Id="rId13" Type="http://schemas.openxmlformats.org/officeDocument/2006/relationships/hyperlink" Target="mailto:jon@naturalinsulation.co.nz" TargetMode="External"/><Relationship Id="rId18" Type="http://schemas.openxmlformats.org/officeDocument/2006/relationships/hyperlink" Target="mailto:lewis.marshall@abodo.co.nz" TargetMode="External"/><Relationship Id="rId3" Type="http://schemas.openxmlformats.org/officeDocument/2006/relationships/hyperlink" Target="mailto:plans@dayleitm.co.nz" TargetMode="External"/><Relationship Id="rId7" Type="http://schemas.openxmlformats.org/officeDocument/2006/relationships/hyperlink" Target="mailto:info@mahurangijoinery.co.nz" TargetMode="External"/><Relationship Id="rId12" Type="http://schemas.openxmlformats.org/officeDocument/2006/relationships/hyperlink" Target="mailto:John.Coogan@pinkfit.co.nz" TargetMode="External"/><Relationship Id="rId17" Type="http://schemas.openxmlformats.org/officeDocument/2006/relationships/hyperlink" Target="mailto:Sarah.Buckley@abodo.co.nz" TargetMode="External"/><Relationship Id="rId2" Type="http://schemas.openxmlformats.org/officeDocument/2006/relationships/hyperlink" Target="mailto:estimate@ntml.co.nz" TargetMode="External"/><Relationship Id="rId16" Type="http://schemas.openxmlformats.org/officeDocument/2006/relationships/hyperlink" Target="mailto:dan@rosenfeldkidson.co.nz" TargetMode="External"/><Relationship Id="rId20" Type="http://schemas.openxmlformats.org/officeDocument/2006/relationships/printerSettings" Target="../printerSettings/printerSettings12.bin"/><Relationship Id="rId1" Type="http://schemas.openxmlformats.org/officeDocument/2006/relationships/hyperlink" Target="mailto:prenail@turangiitm.co.nz" TargetMode="External"/><Relationship Id="rId6" Type="http://schemas.openxmlformats.org/officeDocument/2006/relationships/hyperlink" Target="mailto:QS@summitsteel.co.nz" TargetMode="External"/><Relationship Id="rId11" Type="http://schemas.openxmlformats.org/officeDocument/2006/relationships/hyperlink" Target="mailto:sales@domnorthshore.co.nz" TargetMode="External"/><Relationship Id="rId5" Type="http://schemas.openxmlformats.org/officeDocument/2006/relationships/hyperlink" Target="mailto:akl.cutandbend@unitedsteel.co.nz" TargetMode="External"/><Relationship Id="rId15" Type="http://schemas.openxmlformats.org/officeDocument/2006/relationships/hyperlink" Target="mailto:sales@allwin.co.nz" TargetMode="External"/><Relationship Id="rId10" Type="http://schemas.openxmlformats.org/officeDocument/2006/relationships/hyperlink" Target="mailto:ash@visionwindows.co.nz" TargetMode="External"/><Relationship Id="rId19" Type="http://schemas.openxmlformats.org/officeDocument/2006/relationships/hyperlink" Target="mailto:seanh@jsctimber.co.nz" TargetMode="External"/><Relationship Id="rId4" Type="http://schemas.openxmlformats.org/officeDocument/2006/relationships/hyperlink" Target="mailto:akl.cutandbend@unitedsteel.co.nz" TargetMode="External"/><Relationship Id="rId9" Type="http://schemas.openxmlformats.org/officeDocument/2006/relationships/hyperlink" Target="mailto:sales@elitedoors.net.nz" TargetMode="External"/><Relationship Id="rId14" Type="http://schemas.openxmlformats.org/officeDocument/2006/relationships/hyperlink" Target="mailto:David.morris@adlgroup.co.nz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056BC-2C58-4653-80FB-B6D991F1317B}">
  <sheetPr>
    <tabColor theme="9" tint="0.39997558519241921"/>
    <pageSetUpPr fitToPage="1"/>
  </sheetPr>
  <dimension ref="A1:AQ99"/>
  <sheetViews>
    <sheetView showGridLines="0" tabSelected="1" zoomScale="115" zoomScaleNormal="115" workbookViewId="0">
      <selection activeCell="AU13" sqref="AU13"/>
    </sheetView>
  </sheetViews>
  <sheetFormatPr defaultRowHeight="15" x14ac:dyDescent="0.25"/>
  <cols>
    <col min="1" max="1" width="3.7109375" customWidth="1"/>
    <col min="2" max="2" width="4" customWidth="1"/>
    <col min="3" max="7" width="3.7109375" customWidth="1"/>
    <col min="8" max="8" width="4.140625" customWidth="1"/>
    <col min="9" max="9" width="3.42578125" customWidth="1"/>
    <col min="10" max="11" width="3.7109375" customWidth="1"/>
    <col min="12" max="12" width="4.140625" customWidth="1"/>
    <col min="13" max="13" width="6.140625" customWidth="1"/>
    <col min="14" max="26" width="3.7109375" customWidth="1"/>
    <col min="27" max="27" width="5.5703125" hidden="1" customWidth="1"/>
    <col min="28" max="28" width="13.7109375" hidden="1" customWidth="1"/>
    <col min="29" max="29" width="7.5703125" hidden="1" customWidth="1"/>
    <col min="30" max="30" width="9.7109375" hidden="1" customWidth="1"/>
    <col min="31" max="31" width="7.5703125" hidden="1" customWidth="1"/>
    <col min="32" max="32" width="3.85546875" hidden="1" customWidth="1"/>
    <col min="33" max="33" width="15" hidden="1" customWidth="1"/>
    <col min="34" max="34" width="7.140625" hidden="1" customWidth="1"/>
    <col min="35" max="35" width="8.7109375" hidden="1" customWidth="1"/>
    <col min="36" max="36" width="8.42578125" hidden="1" customWidth="1"/>
    <col min="37" max="37" width="9.140625" hidden="1" customWidth="1"/>
    <col min="38" max="38" width="5.5703125" hidden="1" customWidth="1"/>
    <col min="39" max="39" width="8.28515625" hidden="1" customWidth="1"/>
    <col min="40" max="40" width="7.140625" hidden="1" customWidth="1"/>
    <col min="41" max="41" width="12.7109375" hidden="1" customWidth="1"/>
    <col min="42" max="42" width="11.28515625" hidden="1" customWidth="1"/>
    <col min="43" max="43" width="3.42578125" hidden="1" customWidth="1"/>
    <col min="44" max="44" width="12.7109375" customWidth="1"/>
  </cols>
  <sheetData>
    <row r="1" spans="1:41" ht="12.75" customHeight="1" x14ac:dyDescent="0.25">
      <c r="A1" s="225"/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7" t="s">
        <v>5</v>
      </c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8"/>
    </row>
    <row r="2" spans="1:41" ht="43.5" customHeight="1" x14ac:dyDescent="0.25">
      <c r="A2" s="172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30"/>
    </row>
    <row r="3" spans="1:41" x14ac:dyDescent="0.25">
      <c r="A3" s="117" t="s">
        <v>6</v>
      </c>
      <c r="B3" s="43"/>
      <c r="C3" s="43"/>
      <c r="D3" s="43"/>
      <c r="E3" s="231">
        <v>88888888</v>
      </c>
      <c r="F3" s="231"/>
      <c r="G3" s="231"/>
      <c r="H3" s="231"/>
      <c r="I3" s="231"/>
      <c r="J3" s="231"/>
      <c r="K3" s="231"/>
      <c r="L3" s="114" t="s">
        <v>7</v>
      </c>
      <c r="M3" s="43"/>
      <c r="N3" s="43"/>
      <c r="O3" s="114"/>
      <c r="P3" s="43"/>
      <c r="Q3" s="43"/>
      <c r="R3" s="232" t="s">
        <v>8</v>
      </c>
      <c r="S3" s="232"/>
      <c r="T3" s="232"/>
      <c r="U3" s="232"/>
      <c r="V3" s="232"/>
      <c r="W3" s="232"/>
      <c r="X3" s="232"/>
      <c r="Y3" s="232"/>
      <c r="Z3" s="118"/>
    </row>
    <row r="4" spans="1:41" ht="15.75" thickBot="1" x14ac:dyDescent="0.3">
      <c r="A4" s="117" t="s">
        <v>9</v>
      </c>
      <c r="B4" s="43"/>
      <c r="C4" s="43"/>
      <c r="D4" s="43"/>
      <c r="E4" s="233" t="s">
        <v>226</v>
      </c>
      <c r="F4" s="233"/>
      <c r="G4" s="233"/>
      <c r="H4" s="233"/>
      <c r="I4" s="233"/>
      <c r="J4" s="233"/>
      <c r="K4" s="233"/>
      <c r="L4" s="114" t="s">
        <v>10</v>
      </c>
      <c r="M4" s="43"/>
      <c r="N4" s="43"/>
      <c r="O4" s="114"/>
      <c r="P4" s="43"/>
      <c r="Q4" s="43"/>
      <c r="R4" s="234">
        <f ca="1">TODAY()</f>
        <v>44817</v>
      </c>
      <c r="S4" s="235"/>
      <c r="T4" s="235"/>
      <c r="U4" s="235"/>
      <c r="V4" s="235"/>
      <c r="W4" s="235"/>
      <c r="X4" s="235"/>
      <c r="Y4" s="235"/>
      <c r="Z4" s="118"/>
    </row>
    <row r="5" spans="1:41" ht="14.1" customHeight="1" thickBot="1" x14ac:dyDescent="0.3">
      <c r="A5" s="30"/>
      <c r="B5" s="237" t="s">
        <v>11</v>
      </c>
      <c r="C5" s="238"/>
      <c r="D5" s="238"/>
      <c r="E5" s="238"/>
      <c r="F5" s="239"/>
      <c r="G5" s="30"/>
      <c r="H5" s="237" t="s">
        <v>12</v>
      </c>
      <c r="I5" s="238"/>
      <c r="J5" s="238"/>
      <c r="K5" s="238"/>
      <c r="L5" s="240"/>
      <c r="M5" s="119"/>
      <c r="N5" s="238" t="s">
        <v>13</v>
      </c>
      <c r="O5" s="240"/>
      <c r="P5" s="240"/>
      <c r="Q5" s="240"/>
      <c r="R5" s="240"/>
      <c r="S5" s="240"/>
      <c r="T5" s="207"/>
      <c r="U5" s="208"/>
      <c r="V5" s="208"/>
      <c r="W5" s="208"/>
      <c r="X5" s="208"/>
      <c r="Y5" s="208"/>
      <c r="Z5" s="120"/>
      <c r="AB5" t="s">
        <v>29</v>
      </c>
    </row>
    <row r="6" spans="1:41" s="150" customFormat="1" ht="18" customHeight="1" x14ac:dyDescent="0.25">
      <c r="A6" s="220" t="s">
        <v>14</v>
      </c>
      <c r="B6" s="221"/>
      <c r="C6" s="221"/>
      <c r="D6" s="241" t="s">
        <v>481</v>
      </c>
      <c r="E6" s="241"/>
      <c r="F6" s="241"/>
      <c r="G6" s="241"/>
      <c r="H6" s="241"/>
      <c r="I6" s="241"/>
      <c r="J6" s="241"/>
      <c r="K6" s="241"/>
      <c r="L6" s="241"/>
      <c r="M6" s="242"/>
      <c r="N6" s="151" t="s">
        <v>15</v>
      </c>
      <c r="O6" s="152"/>
      <c r="P6" s="152"/>
      <c r="Q6" s="153"/>
      <c r="R6" s="243" t="s">
        <v>480</v>
      </c>
      <c r="S6" s="244"/>
      <c r="T6" s="244"/>
      <c r="U6" s="244"/>
      <c r="V6" s="244"/>
      <c r="W6" s="244"/>
      <c r="X6" s="244"/>
      <c r="Y6" s="244"/>
      <c r="Z6" s="245"/>
    </row>
    <row r="7" spans="1:41" s="150" customFormat="1" ht="18" customHeight="1" x14ac:dyDescent="0.25">
      <c r="A7" s="148" t="s">
        <v>239</v>
      </c>
      <c r="B7" s="149"/>
      <c r="C7" s="149"/>
      <c r="D7" s="149"/>
      <c r="E7" s="175" t="s">
        <v>445</v>
      </c>
      <c r="F7" s="175"/>
      <c r="G7" s="175"/>
      <c r="H7" s="175"/>
      <c r="I7" s="175"/>
      <c r="J7" s="175"/>
      <c r="K7" s="175"/>
      <c r="L7" s="175"/>
      <c r="M7" s="176"/>
      <c r="N7" s="148" t="s">
        <v>240</v>
      </c>
      <c r="O7" s="149"/>
      <c r="P7" s="149"/>
      <c r="Q7" s="149"/>
      <c r="R7" s="177">
        <v>21742868</v>
      </c>
      <c r="S7" s="177"/>
      <c r="T7" s="177"/>
      <c r="U7" s="177"/>
      <c r="V7" s="177"/>
      <c r="W7" s="177"/>
      <c r="X7" s="177"/>
      <c r="Y7" s="177"/>
      <c r="Z7" s="178"/>
    </row>
    <row r="8" spans="1:41" s="31" customFormat="1" ht="14.1" customHeight="1" thickBot="1" x14ac:dyDescent="0.25">
      <c r="A8" s="37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1"/>
      <c r="N8" s="37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1"/>
    </row>
    <row r="9" spans="1:41" s="31" customFormat="1" ht="15" customHeight="1" thickBot="1" x14ac:dyDescent="0.25">
      <c r="A9" s="172" t="s">
        <v>479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4"/>
    </row>
    <row r="10" spans="1:41" s="31" customFormat="1" ht="15.95" customHeight="1" thickBot="1" x14ac:dyDescent="0.25">
      <c r="A10" s="122" t="s">
        <v>16</v>
      </c>
      <c r="B10" s="123"/>
      <c r="C10" s="124"/>
      <c r="D10" s="124"/>
      <c r="E10" s="124"/>
      <c r="F10" s="30"/>
      <c r="G10" s="124" t="s">
        <v>17</v>
      </c>
      <c r="H10" s="125"/>
      <c r="I10" s="30"/>
      <c r="J10" s="124" t="s">
        <v>478</v>
      </c>
      <c r="K10" s="124"/>
      <c r="L10" s="124"/>
      <c r="M10" s="124"/>
      <c r="N10" s="122" t="s">
        <v>18</v>
      </c>
      <c r="O10" s="123"/>
      <c r="P10" s="124"/>
      <c r="Q10" s="124"/>
      <c r="R10" s="124"/>
      <c r="S10" s="124"/>
      <c r="T10" s="124"/>
      <c r="U10" s="30"/>
      <c r="V10" s="124" t="s">
        <v>17</v>
      </c>
      <c r="W10" s="124"/>
      <c r="X10" s="30"/>
      <c r="Y10" s="124" t="s">
        <v>19</v>
      </c>
      <c r="Z10" s="125"/>
      <c r="AB10" s="31" t="s">
        <v>213</v>
      </c>
      <c r="AC10" s="31" t="b">
        <v>0</v>
      </c>
      <c r="AD10" s="31" t="s">
        <v>214</v>
      </c>
      <c r="AE10" s="31" t="b">
        <v>0</v>
      </c>
      <c r="AJ10" s="31" t="s">
        <v>224</v>
      </c>
      <c r="AK10" s="31" t="b">
        <v>1</v>
      </c>
      <c r="AL10" s="31" t="s">
        <v>225</v>
      </c>
      <c r="AM10" s="31" t="b">
        <v>0</v>
      </c>
      <c r="AO10" s="31" t="s">
        <v>229</v>
      </c>
    </row>
    <row r="11" spans="1:41" s="31" customFormat="1" ht="15" customHeight="1" thickBot="1" x14ac:dyDescent="0.25">
      <c r="A11" s="32"/>
      <c r="B11" s="170" t="s">
        <v>20</v>
      </c>
      <c r="C11" s="171"/>
      <c r="D11" s="171"/>
      <c r="E11" s="171"/>
      <c r="F11" s="171"/>
      <c r="G11" s="115"/>
      <c r="H11" s="32"/>
      <c r="I11" s="170" t="s">
        <v>21</v>
      </c>
      <c r="J11" s="171"/>
      <c r="K11" s="171"/>
      <c r="L11" s="171"/>
      <c r="M11" s="115"/>
      <c r="N11" s="32"/>
      <c r="O11" s="170" t="s">
        <v>22</v>
      </c>
      <c r="P11" s="171"/>
      <c r="Q11" s="171"/>
      <c r="R11" s="171"/>
      <c r="S11" s="213"/>
      <c r="T11" s="213"/>
      <c r="U11" s="213"/>
      <c r="V11" s="213"/>
      <c r="W11" s="213"/>
      <c r="X11" s="213"/>
      <c r="Y11" s="213"/>
      <c r="Z11" s="126"/>
      <c r="AL11" s="31" t="s">
        <v>24</v>
      </c>
      <c r="AM11" s="31" t="b">
        <v>0</v>
      </c>
      <c r="AO11" s="31" t="s">
        <v>212</v>
      </c>
    </row>
    <row r="12" spans="1:41" s="31" customFormat="1" ht="15" customHeight="1" thickBot="1" x14ac:dyDescent="0.25">
      <c r="A12" s="32"/>
      <c r="B12" s="170" t="s">
        <v>23</v>
      </c>
      <c r="C12" s="171"/>
      <c r="D12" s="171"/>
      <c r="E12" s="171"/>
      <c r="F12" s="171"/>
      <c r="G12" s="115"/>
      <c r="H12" s="32"/>
      <c r="I12" s="170" t="s">
        <v>24</v>
      </c>
      <c r="J12" s="171"/>
      <c r="K12" s="171"/>
      <c r="L12" s="171"/>
      <c r="M12" s="115"/>
      <c r="N12" s="32"/>
      <c r="O12" s="170" t="s">
        <v>25</v>
      </c>
      <c r="P12" s="171"/>
      <c r="Q12" s="171"/>
      <c r="R12" s="171"/>
      <c r="S12" s="214"/>
      <c r="T12" s="214"/>
      <c r="U12" s="214"/>
      <c r="V12" s="214"/>
      <c r="W12" s="214"/>
      <c r="X12" s="214"/>
      <c r="Y12" s="214"/>
      <c r="Z12" s="126"/>
      <c r="AJ12" s="31" t="s">
        <v>23</v>
      </c>
      <c r="AK12" s="31" t="b">
        <v>1</v>
      </c>
      <c r="AO12" s="31" t="s">
        <v>226</v>
      </c>
    </row>
    <row r="13" spans="1:41" s="31" customFormat="1" ht="15" customHeight="1" thickBot="1" x14ac:dyDescent="0.25">
      <c r="A13" s="32"/>
      <c r="B13" s="170"/>
      <c r="C13" s="171"/>
      <c r="D13" s="171"/>
      <c r="E13" s="171"/>
      <c r="F13" s="171"/>
      <c r="G13" s="127"/>
      <c r="H13" s="32"/>
      <c r="I13" s="236"/>
      <c r="J13" s="236"/>
      <c r="K13" s="236"/>
      <c r="L13" s="236"/>
      <c r="M13" s="115"/>
      <c r="N13" s="32"/>
      <c r="O13" s="170" t="s">
        <v>27</v>
      </c>
      <c r="P13" s="171"/>
      <c r="Q13" s="171"/>
      <c r="R13" s="171"/>
      <c r="S13" s="214"/>
      <c r="T13" s="214"/>
      <c r="U13" s="214"/>
      <c r="V13" s="214"/>
      <c r="W13" s="214"/>
      <c r="X13" s="214"/>
      <c r="Y13" s="214"/>
      <c r="Z13" s="126"/>
      <c r="AJ13" s="31" t="s">
        <v>26</v>
      </c>
      <c r="AK13" s="31" t="b">
        <v>0</v>
      </c>
      <c r="AO13" s="31" t="s">
        <v>227</v>
      </c>
    </row>
    <row r="14" spans="1:41" s="31" customFormat="1" ht="15" customHeight="1" thickBot="1" x14ac:dyDescent="0.25">
      <c r="A14" s="128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32"/>
      <c r="O14" s="170" t="s">
        <v>28</v>
      </c>
      <c r="P14" s="171"/>
      <c r="Q14" s="171"/>
      <c r="R14" s="171"/>
      <c r="S14" s="214"/>
      <c r="T14" s="214"/>
      <c r="U14" s="214"/>
      <c r="V14" s="214"/>
      <c r="W14" s="214"/>
      <c r="X14" s="214"/>
      <c r="Y14" s="214"/>
      <c r="Z14" s="126"/>
      <c r="AD14" s="31" t="s">
        <v>29</v>
      </c>
      <c r="AO14" s="31" t="s">
        <v>228</v>
      </c>
    </row>
    <row r="15" spans="1:41" s="31" customFormat="1" ht="15" customHeight="1" thickBot="1" x14ac:dyDescent="0.25">
      <c r="A15" s="122" t="s">
        <v>30</v>
      </c>
      <c r="B15" s="123"/>
      <c r="C15" s="124"/>
      <c r="D15" s="124"/>
      <c r="E15" s="124"/>
      <c r="F15" s="30"/>
      <c r="G15" s="124" t="s">
        <v>17</v>
      </c>
      <c r="H15" s="129"/>
      <c r="I15" s="30"/>
      <c r="J15" s="124" t="s">
        <v>19</v>
      </c>
      <c r="K15" s="129"/>
      <c r="L15" s="124"/>
      <c r="M15" s="124"/>
      <c r="N15" s="32"/>
      <c r="O15" s="170" t="s">
        <v>31</v>
      </c>
      <c r="P15" s="171"/>
      <c r="Q15" s="171"/>
      <c r="R15" s="171"/>
      <c r="S15" s="214"/>
      <c r="T15" s="214"/>
      <c r="U15" s="214"/>
      <c r="V15" s="214"/>
      <c r="W15" s="214"/>
      <c r="X15" s="214"/>
      <c r="Y15" s="214"/>
      <c r="Z15" s="126"/>
      <c r="AB15" s="31" t="s">
        <v>215</v>
      </c>
      <c r="AC15" s="31" t="b">
        <v>0</v>
      </c>
      <c r="AG15" s="31" t="s">
        <v>8</v>
      </c>
    </row>
    <row r="16" spans="1:41" s="31" customFormat="1" ht="15" customHeight="1" thickBot="1" x14ac:dyDescent="0.25">
      <c r="A16" s="32"/>
      <c r="B16" s="170" t="s">
        <v>32</v>
      </c>
      <c r="C16" s="171"/>
      <c r="D16" s="171"/>
      <c r="E16" s="213"/>
      <c r="F16" s="213"/>
      <c r="G16" s="213"/>
      <c r="H16" s="213"/>
      <c r="I16" s="213"/>
      <c r="J16" s="213"/>
      <c r="K16" s="213"/>
      <c r="L16" s="213"/>
      <c r="M16" s="115"/>
      <c r="N16" s="32"/>
      <c r="O16" s="170" t="s">
        <v>33</v>
      </c>
      <c r="P16" s="171"/>
      <c r="Q16" s="171"/>
      <c r="R16" s="171"/>
      <c r="S16" s="171"/>
      <c r="T16" s="171"/>
      <c r="U16" s="171"/>
      <c r="V16" s="171"/>
      <c r="W16" s="113"/>
      <c r="X16" s="113"/>
      <c r="Y16" s="113"/>
      <c r="Z16" s="126"/>
      <c r="AG16" s="31" t="s">
        <v>34</v>
      </c>
    </row>
    <row r="17" spans="1:33" s="31" customFormat="1" ht="15" customHeight="1" thickBot="1" x14ac:dyDescent="0.25">
      <c r="A17" s="32"/>
      <c r="B17" s="170" t="s">
        <v>35</v>
      </c>
      <c r="C17" s="171"/>
      <c r="D17" s="171"/>
      <c r="E17" s="214"/>
      <c r="F17" s="214"/>
      <c r="G17" s="214"/>
      <c r="H17" s="214"/>
      <c r="I17" s="214"/>
      <c r="J17" s="214"/>
      <c r="K17" s="214"/>
      <c r="L17" s="214"/>
      <c r="M17" s="115"/>
      <c r="N17" s="32"/>
      <c r="O17" s="170" t="s">
        <v>36</v>
      </c>
      <c r="P17" s="171"/>
      <c r="Q17" s="171"/>
      <c r="R17" s="171"/>
      <c r="S17" s="171"/>
      <c r="T17" s="171"/>
      <c r="U17" s="113"/>
      <c r="V17" s="113"/>
      <c r="W17" s="113"/>
      <c r="X17" s="113"/>
      <c r="Y17" s="113"/>
      <c r="Z17" s="126"/>
      <c r="AG17" s="31" t="s">
        <v>37</v>
      </c>
    </row>
    <row r="18" spans="1:33" s="31" customFormat="1" ht="15" customHeight="1" thickBot="1" x14ac:dyDescent="0.25">
      <c r="A18" s="32"/>
      <c r="B18" s="170" t="s">
        <v>38</v>
      </c>
      <c r="C18" s="171"/>
      <c r="D18" s="171"/>
      <c r="E18" s="214" t="s">
        <v>453</v>
      </c>
      <c r="F18" s="214"/>
      <c r="G18" s="214"/>
      <c r="H18" s="214"/>
      <c r="I18" s="214"/>
      <c r="J18" s="214"/>
      <c r="K18" s="214"/>
      <c r="L18" s="214"/>
      <c r="M18" s="115"/>
      <c r="N18" s="130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26"/>
    </row>
    <row r="19" spans="1:33" s="31" customFormat="1" ht="15" customHeight="1" thickBot="1" x14ac:dyDescent="0.25">
      <c r="A19" s="32"/>
      <c r="B19" s="170" t="s">
        <v>39</v>
      </c>
      <c r="C19" s="171"/>
      <c r="D19" s="171"/>
      <c r="E19" s="171"/>
      <c r="F19" s="113"/>
      <c r="G19" s="214"/>
      <c r="H19" s="214"/>
      <c r="I19" s="214"/>
      <c r="J19" s="214"/>
      <c r="K19" s="214"/>
      <c r="L19" s="214"/>
      <c r="M19" s="115"/>
      <c r="N19" s="122" t="s">
        <v>40</v>
      </c>
      <c r="O19" s="123"/>
      <c r="P19" s="124"/>
      <c r="Q19" s="124"/>
      <c r="R19" s="124"/>
      <c r="S19" s="124"/>
      <c r="T19" s="124"/>
      <c r="U19" s="30"/>
      <c r="V19" s="34" t="s">
        <v>17</v>
      </c>
      <c r="W19" s="124"/>
      <c r="X19" s="30"/>
      <c r="Y19" s="124" t="s">
        <v>19</v>
      </c>
      <c r="Z19" s="125"/>
      <c r="AB19" s="31" t="s">
        <v>217</v>
      </c>
      <c r="AC19" s="31" t="b">
        <v>0</v>
      </c>
    </row>
    <row r="20" spans="1:33" s="31" customFormat="1" thickBot="1" x14ac:dyDescent="0.25">
      <c r="A20" s="32"/>
      <c r="B20" s="170" t="s">
        <v>41</v>
      </c>
      <c r="C20" s="171"/>
      <c r="D20" s="171"/>
      <c r="E20" s="171"/>
      <c r="F20" s="171"/>
      <c r="G20" s="171"/>
      <c r="H20" s="214"/>
      <c r="I20" s="214"/>
      <c r="J20" s="214"/>
      <c r="K20" s="214"/>
      <c r="L20" s="214"/>
      <c r="M20" s="115"/>
      <c r="N20" s="32"/>
      <c r="O20" s="115" t="s">
        <v>42</v>
      </c>
      <c r="P20" s="115"/>
      <c r="Q20" s="223"/>
      <c r="R20" s="223"/>
      <c r="S20" s="223"/>
      <c r="T20" s="32"/>
      <c r="U20" s="170" t="s">
        <v>28</v>
      </c>
      <c r="V20" s="171"/>
      <c r="W20" s="223"/>
      <c r="X20" s="223"/>
      <c r="Y20" s="223"/>
      <c r="Z20" s="126"/>
    </row>
    <row r="21" spans="1:33" s="31" customFormat="1" ht="15" customHeight="1" thickBot="1" x14ac:dyDescent="0.25">
      <c r="A21" s="128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32"/>
      <c r="O21" s="115" t="s">
        <v>43</v>
      </c>
      <c r="P21" s="115"/>
      <c r="Q21" s="115"/>
      <c r="R21" s="115"/>
      <c r="S21" s="115"/>
      <c r="T21" s="32"/>
      <c r="U21" s="170" t="s">
        <v>44</v>
      </c>
      <c r="V21" s="171"/>
      <c r="W21" s="171"/>
      <c r="X21" s="171"/>
      <c r="Y21" s="171"/>
      <c r="Z21" s="126"/>
      <c r="AB21" s="31" t="s">
        <v>216</v>
      </c>
    </row>
    <row r="22" spans="1:33" s="31" customFormat="1" ht="15" customHeight="1" thickBot="1" x14ac:dyDescent="0.25">
      <c r="A22" s="122" t="s">
        <v>45</v>
      </c>
      <c r="B22" s="124"/>
      <c r="C22" s="124"/>
      <c r="D22" s="124"/>
      <c r="E22" s="124"/>
      <c r="F22" s="30"/>
      <c r="G22" s="124" t="s">
        <v>17</v>
      </c>
      <c r="H22" s="124"/>
      <c r="I22" s="30"/>
      <c r="J22" s="124" t="s">
        <v>19</v>
      </c>
      <c r="K22" s="124"/>
      <c r="L22" s="124"/>
      <c r="M22" s="124"/>
      <c r="N22" s="32"/>
      <c r="O22" s="115" t="s">
        <v>46</v>
      </c>
      <c r="P22" s="115"/>
      <c r="Q22" s="115"/>
      <c r="R22" s="115"/>
      <c r="S22" s="115"/>
      <c r="T22" s="32"/>
      <c r="U22" s="170" t="s">
        <v>47</v>
      </c>
      <c r="V22" s="171"/>
      <c r="W22" s="171"/>
      <c r="X22" s="171"/>
      <c r="Y22" s="171"/>
      <c r="Z22" s="126"/>
    </row>
    <row r="23" spans="1:33" s="31" customFormat="1" ht="15" customHeight="1" thickBot="1" x14ac:dyDescent="0.25">
      <c r="A23" s="32"/>
      <c r="B23" s="170" t="s">
        <v>48</v>
      </c>
      <c r="C23" s="171"/>
      <c r="D23" s="171"/>
      <c r="E23" s="171"/>
      <c r="F23" s="171"/>
      <c r="G23" s="171"/>
      <c r="H23" s="171"/>
      <c r="I23" s="171"/>
      <c r="J23" s="171"/>
      <c r="K23" s="115"/>
      <c r="L23" s="115"/>
      <c r="M23" s="115"/>
      <c r="N23" s="32"/>
      <c r="O23" s="115" t="s">
        <v>49</v>
      </c>
      <c r="P23" s="115"/>
      <c r="Q23" s="115"/>
      <c r="R23" s="115"/>
      <c r="S23" s="115"/>
      <c r="T23" s="32"/>
      <c r="U23" s="170" t="s">
        <v>50</v>
      </c>
      <c r="V23" s="171"/>
      <c r="W23" s="171"/>
      <c r="X23" s="171"/>
      <c r="Y23" s="171"/>
      <c r="Z23" s="126"/>
    </row>
    <row r="24" spans="1:33" s="31" customFormat="1" ht="15" customHeight="1" thickBot="1" x14ac:dyDescent="0.25">
      <c r="A24" s="32"/>
      <c r="B24" s="170" t="s">
        <v>446</v>
      </c>
      <c r="C24" s="171"/>
      <c r="D24" s="224"/>
      <c r="E24" s="35"/>
      <c r="F24" s="170" t="s">
        <v>235</v>
      </c>
      <c r="G24" s="224"/>
      <c r="H24" s="35"/>
      <c r="I24" s="170" t="s">
        <v>236</v>
      </c>
      <c r="J24" s="224"/>
      <c r="K24" s="36"/>
      <c r="L24" s="128" t="s">
        <v>452</v>
      </c>
      <c r="M24" s="126"/>
      <c r="N24" s="32"/>
      <c r="O24" s="115" t="s">
        <v>51</v>
      </c>
      <c r="P24" s="114"/>
      <c r="Q24" s="223"/>
      <c r="R24" s="223"/>
      <c r="S24" s="223"/>
      <c r="T24" s="223"/>
      <c r="U24" s="223"/>
      <c r="V24" s="223"/>
      <c r="W24" s="223"/>
      <c r="X24" s="223"/>
      <c r="Y24" s="223"/>
      <c r="Z24" s="126"/>
    </row>
    <row r="25" spans="1:33" s="31" customFormat="1" thickBot="1" x14ac:dyDescent="0.25">
      <c r="A25" s="32"/>
      <c r="B25" s="170" t="s">
        <v>447</v>
      </c>
      <c r="C25" s="171"/>
      <c r="D25" s="224"/>
      <c r="E25" s="35"/>
      <c r="F25" s="170" t="s">
        <v>52</v>
      </c>
      <c r="G25" s="224"/>
      <c r="H25" s="35"/>
      <c r="I25" s="170" t="s">
        <v>450</v>
      </c>
      <c r="J25" s="171"/>
      <c r="K25" s="171"/>
      <c r="L25" s="171"/>
      <c r="M25" s="115"/>
      <c r="N25" s="128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26"/>
    </row>
    <row r="26" spans="1:33" s="31" customFormat="1" thickBot="1" x14ac:dyDescent="0.25">
      <c r="A26" s="32"/>
      <c r="B26" s="170" t="s">
        <v>448</v>
      </c>
      <c r="C26" s="171"/>
      <c r="D26" s="224"/>
      <c r="E26" s="35"/>
      <c r="F26" s="170" t="s">
        <v>449</v>
      </c>
      <c r="G26" s="224"/>
      <c r="H26" s="35"/>
      <c r="I26" s="170" t="s">
        <v>451</v>
      </c>
      <c r="J26" s="171"/>
      <c r="K26" s="115"/>
      <c r="L26" s="115"/>
      <c r="M26" s="115"/>
      <c r="N26" s="122" t="s">
        <v>53</v>
      </c>
      <c r="O26" s="124"/>
      <c r="P26" s="124"/>
      <c r="Q26" s="124"/>
      <c r="R26" s="124"/>
      <c r="S26" s="124"/>
      <c r="T26" s="124"/>
      <c r="U26" s="30"/>
      <c r="V26" s="124" t="s">
        <v>17</v>
      </c>
      <c r="W26" s="124"/>
      <c r="X26" s="30"/>
      <c r="Y26" s="124" t="s">
        <v>19</v>
      </c>
      <c r="Z26" s="125"/>
      <c r="AB26" s="31" t="s">
        <v>218</v>
      </c>
      <c r="AC26" s="31" t="b">
        <v>0</v>
      </c>
    </row>
    <row r="27" spans="1:33" s="31" customFormat="1" ht="15" customHeight="1" thickBot="1" x14ac:dyDescent="0.25">
      <c r="A27" s="128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32"/>
      <c r="O27" s="170" t="s">
        <v>54</v>
      </c>
      <c r="P27" s="171"/>
      <c r="Q27" s="171"/>
      <c r="R27" s="171"/>
      <c r="S27" s="223" t="s">
        <v>454</v>
      </c>
      <c r="T27" s="223"/>
      <c r="U27" s="223"/>
      <c r="V27" s="223"/>
      <c r="W27" s="223"/>
      <c r="X27" s="223"/>
      <c r="Y27" s="223"/>
      <c r="Z27" s="126"/>
    </row>
    <row r="28" spans="1:33" s="31" customFormat="1" ht="15" customHeight="1" thickBot="1" x14ac:dyDescent="0.25">
      <c r="A28" s="122" t="s">
        <v>55</v>
      </c>
      <c r="B28" s="123"/>
      <c r="C28" s="124"/>
      <c r="D28" s="124"/>
      <c r="E28" s="124"/>
      <c r="F28" s="30"/>
      <c r="G28" s="124" t="s">
        <v>17</v>
      </c>
      <c r="H28" s="124"/>
      <c r="I28" s="30"/>
      <c r="J28" s="124" t="s">
        <v>19</v>
      </c>
      <c r="K28" s="124"/>
      <c r="L28" s="124"/>
      <c r="M28" s="124"/>
      <c r="N28" s="32"/>
      <c r="O28" s="246" t="s">
        <v>56</v>
      </c>
      <c r="P28" s="209"/>
      <c r="Q28" s="209"/>
      <c r="R28" s="209"/>
      <c r="S28" s="222"/>
      <c r="T28" s="222"/>
      <c r="U28" s="222"/>
      <c r="V28" s="222"/>
      <c r="W28" s="222"/>
      <c r="X28" s="222"/>
      <c r="Y28" s="222"/>
      <c r="Z28" s="126"/>
      <c r="AB28" s="31" t="s">
        <v>219</v>
      </c>
      <c r="AC28" s="31" t="b">
        <v>0</v>
      </c>
    </row>
    <row r="29" spans="1:33" s="31" customFormat="1" ht="15" customHeight="1" thickBot="1" x14ac:dyDescent="0.25">
      <c r="A29" s="32"/>
      <c r="B29" s="115" t="s">
        <v>48</v>
      </c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30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26"/>
    </row>
    <row r="30" spans="1:33" s="31" customFormat="1" ht="15" customHeight="1" thickBot="1" x14ac:dyDescent="0.25">
      <c r="A30" s="32"/>
      <c r="B30" s="115" t="s">
        <v>57</v>
      </c>
      <c r="C30" s="115"/>
      <c r="D30" s="115"/>
      <c r="E30" s="115"/>
      <c r="F30" s="115"/>
      <c r="G30" s="115"/>
      <c r="H30" s="32"/>
      <c r="I30" s="115" t="s">
        <v>58</v>
      </c>
      <c r="J30" s="115"/>
      <c r="K30" s="115"/>
      <c r="L30" s="115"/>
      <c r="M30" s="115"/>
      <c r="N30" s="122" t="s">
        <v>59</v>
      </c>
      <c r="O30" s="123"/>
      <c r="P30" s="124"/>
      <c r="Q30" s="124"/>
      <c r="R30" s="124"/>
      <c r="S30" s="124"/>
      <c r="T30" s="124"/>
      <c r="U30" s="30"/>
      <c r="V30" s="124" t="s">
        <v>17</v>
      </c>
      <c r="W30" s="124"/>
      <c r="X30" s="30"/>
      <c r="Y30" s="124" t="s">
        <v>19</v>
      </c>
      <c r="Z30" s="125"/>
      <c r="AB30" s="31" t="s">
        <v>220</v>
      </c>
      <c r="AC30" s="31" t="b">
        <v>0</v>
      </c>
    </row>
    <row r="31" spans="1:33" s="31" customFormat="1" ht="15" customHeight="1" thickBot="1" x14ac:dyDescent="0.25">
      <c r="A31" s="32"/>
      <c r="B31" s="115" t="s">
        <v>60</v>
      </c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32"/>
      <c r="O31" s="170" t="s">
        <v>61</v>
      </c>
      <c r="P31" s="171"/>
      <c r="Q31" s="224"/>
      <c r="R31" s="35"/>
      <c r="S31" s="115" t="s">
        <v>62</v>
      </c>
      <c r="T31" s="115"/>
      <c r="U31" s="115"/>
      <c r="V31" s="32"/>
      <c r="W31" s="170" t="s">
        <v>63</v>
      </c>
      <c r="X31" s="171"/>
      <c r="Y31" s="171"/>
      <c r="Z31" s="224"/>
    </row>
    <row r="32" spans="1:33" s="31" customFormat="1" ht="15" customHeight="1" thickBot="1" x14ac:dyDescent="0.25">
      <c r="A32" s="32"/>
      <c r="B32" s="115" t="s">
        <v>64</v>
      </c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36"/>
      <c r="O32" s="170" t="s">
        <v>65</v>
      </c>
      <c r="P32" s="171"/>
      <c r="Q32" s="171"/>
      <c r="R32" s="171"/>
      <c r="S32" s="115"/>
      <c r="T32" s="127"/>
      <c r="U32" s="115"/>
      <c r="V32" s="32"/>
      <c r="W32" s="170" t="s">
        <v>66</v>
      </c>
      <c r="X32" s="171"/>
      <c r="Y32" s="171"/>
      <c r="Z32" s="224"/>
    </row>
    <row r="33" spans="1:43" s="31" customFormat="1" ht="15" customHeight="1" thickBot="1" x14ac:dyDescent="0.25">
      <c r="A33" s="128"/>
      <c r="B33" s="115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36"/>
      <c r="O33" s="170" t="s">
        <v>67</v>
      </c>
      <c r="P33" s="171"/>
      <c r="Q33" s="171"/>
      <c r="R33" s="171"/>
      <c r="S33" s="115"/>
      <c r="T33" s="127"/>
      <c r="U33" s="115"/>
      <c r="V33" s="32"/>
      <c r="W33" s="170" t="s">
        <v>68</v>
      </c>
      <c r="X33" s="171"/>
      <c r="Y33" s="171"/>
      <c r="Z33" s="224"/>
    </row>
    <row r="34" spans="1:43" s="31" customFormat="1" ht="15" customHeight="1" thickBot="1" x14ac:dyDescent="0.25">
      <c r="A34" s="122" t="s">
        <v>69</v>
      </c>
      <c r="B34" s="123"/>
      <c r="C34" s="124"/>
      <c r="D34" s="124"/>
      <c r="E34" s="124"/>
      <c r="F34" s="124"/>
      <c r="G34" s="124"/>
      <c r="H34" s="30"/>
      <c r="I34" s="124" t="s">
        <v>17</v>
      </c>
      <c r="J34" s="124"/>
      <c r="K34" s="30"/>
      <c r="L34" s="124" t="s">
        <v>19</v>
      </c>
      <c r="M34" s="124"/>
      <c r="N34" s="36"/>
      <c r="O34" s="170" t="s">
        <v>70</v>
      </c>
      <c r="P34" s="171"/>
      <c r="Q34" s="171"/>
      <c r="R34" s="171"/>
      <c r="S34" s="115"/>
      <c r="T34" s="127"/>
      <c r="U34" s="115"/>
      <c r="V34" s="32"/>
      <c r="W34" s="170" t="s">
        <v>71</v>
      </c>
      <c r="X34" s="171"/>
      <c r="Y34" s="171"/>
      <c r="Z34" s="224"/>
      <c r="AB34" s="31" t="s">
        <v>221</v>
      </c>
      <c r="AC34" s="31" t="b">
        <v>0</v>
      </c>
    </row>
    <row r="35" spans="1:43" s="31" customFormat="1" ht="15" customHeight="1" thickBot="1" x14ac:dyDescent="0.25">
      <c r="A35" s="32"/>
      <c r="B35" s="170" t="s">
        <v>72</v>
      </c>
      <c r="C35" s="171"/>
      <c r="D35" s="171"/>
      <c r="E35" s="171"/>
      <c r="F35" s="115" t="s">
        <v>73</v>
      </c>
      <c r="G35" s="32"/>
      <c r="H35" s="113" t="s">
        <v>74</v>
      </c>
      <c r="I35" s="113"/>
      <c r="J35" s="109"/>
      <c r="K35" s="109"/>
      <c r="L35" s="109"/>
      <c r="M35" s="113"/>
      <c r="N35" s="128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26"/>
    </row>
    <row r="36" spans="1:43" s="31" customFormat="1" ht="15" customHeight="1" thickBot="1" x14ac:dyDescent="0.25">
      <c r="A36" s="32"/>
      <c r="B36" s="170" t="s">
        <v>75</v>
      </c>
      <c r="C36" s="171"/>
      <c r="D36" s="171"/>
      <c r="E36" s="171"/>
      <c r="F36" s="115"/>
      <c r="G36" s="32"/>
      <c r="H36" s="170" t="s">
        <v>76</v>
      </c>
      <c r="I36" s="171"/>
      <c r="J36" s="171"/>
      <c r="K36" s="171"/>
      <c r="L36" s="171"/>
      <c r="M36" s="224"/>
      <c r="N36" s="122" t="s">
        <v>77</v>
      </c>
      <c r="O36" s="124"/>
      <c r="P36" s="124"/>
      <c r="Q36" s="124"/>
      <c r="R36" s="124"/>
      <c r="S36" s="124"/>
      <c r="T36" s="124"/>
      <c r="U36" s="30"/>
      <c r="V36" s="124" t="s">
        <v>17</v>
      </c>
      <c r="W36" s="124"/>
      <c r="X36" s="30"/>
      <c r="Y36" s="124" t="s">
        <v>19</v>
      </c>
      <c r="Z36" s="125"/>
      <c r="AB36" s="31" t="s">
        <v>222</v>
      </c>
      <c r="AC36" s="31" t="b">
        <v>0</v>
      </c>
    </row>
    <row r="37" spans="1:43" s="31" customFormat="1" ht="15" customHeight="1" thickBot="1" x14ac:dyDescent="0.25">
      <c r="A37" s="32"/>
      <c r="B37" s="170" t="s">
        <v>78</v>
      </c>
      <c r="C37" s="171"/>
      <c r="D37" s="171"/>
      <c r="E37" s="171"/>
      <c r="F37" s="115"/>
      <c r="G37" s="32"/>
      <c r="H37" s="113" t="s">
        <v>79</v>
      </c>
      <c r="I37" s="113"/>
      <c r="J37" s="109"/>
      <c r="K37" s="109"/>
      <c r="L37" s="109"/>
      <c r="M37" s="113"/>
      <c r="N37" s="32"/>
      <c r="O37" s="170" t="s">
        <v>80</v>
      </c>
      <c r="P37" s="171"/>
      <c r="Q37" s="171"/>
      <c r="R37" s="171"/>
      <c r="S37" s="171"/>
      <c r="T37" s="131"/>
      <c r="U37" s="113"/>
      <c r="V37" s="113"/>
      <c r="W37" s="113"/>
      <c r="X37" s="113"/>
      <c r="Y37" s="113"/>
      <c r="Z37" s="126"/>
    </row>
    <row r="38" spans="1:43" s="31" customFormat="1" ht="15" customHeight="1" thickBot="1" x14ac:dyDescent="0.25">
      <c r="A38" s="162"/>
      <c r="B38" s="170" t="s">
        <v>81</v>
      </c>
      <c r="C38" s="171"/>
      <c r="D38" s="171"/>
      <c r="E38" s="171"/>
      <c r="F38" s="115"/>
      <c r="G38" s="115"/>
      <c r="H38" s="115"/>
      <c r="I38" s="115"/>
      <c r="J38" s="115"/>
      <c r="K38" s="115"/>
      <c r="L38" s="115"/>
      <c r="M38" s="115"/>
      <c r="N38" s="162"/>
      <c r="O38" s="170" t="s">
        <v>82</v>
      </c>
      <c r="P38" s="171"/>
      <c r="Q38" s="171"/>
      <c r="R38" s="213"/>
      <c r="S38" s="213"/>
      <c r="T38" s="213"/>
      <c r="U38" s="213"/>
      <c r="V38" s="213"/>
      <c r="W38" s="213"/>
      <c r="X38" s="213"/>
      <c r="Y38" s="213"/>
      <c r="Z38" s="126"/>
    </row>
    <row r="39" spans="1:43" s="31" customFormat="1" ht="0.95" customHeight="1" thickBot="1" x14ac:dyDescent="0.25">
      <c r="A39" s="132"/>
      <c r="B39" s="132"/>
      <c r="C39" s="115"/>
      <c r="D39" s="121"/>
      <c r="E39" s="115"/>
      <c r="F39" s="115"/>
      <c r="G39" s="115"/>
      <c r="H39" s="115"/>
      <c r="I39" s="115"/>
      <c r="J39" s="115"/>
      <c r="K39" s="115"/>
      <c r="L39" s="115"/>
      <c r="M39" s="133"/>
      <c r="N39" s="165"/>
      <c r="O39" s="33"/>
      <c r="AQ39" s="33"/>
    </row>
    <row r="40" spans="1:43" s="31" customFormat="1" ht="15" customHeight="1" thickBot="1" x14ac:dyDescent="0.25">
      <c r="A40" s="122" t="s">
        <v>84</v>
      </c>
      <c r="B40" s="123"/>
      <c r="C40" s="124"/>
      <c r="D40" s="124"/>
      <c r="E40" s="124"/>
      <c r="F40" s="124"/>
      <c r="G40" s="124"/>
      <c r="H40" s="30"/>
      <c r="I40" s="124" t="s">
        <v>17</v>
      </c>
      <c r="J40" s="124"/>
      <c r="K40" s="30"/>
      <c r="L40" s="124" t="s">
        <v>19</v>
      </c>
      <c r="M40" s="125"/>
      <c r="N40" s="164"/>
      <c r="O40" s="170" t="s">
        <v>83</v>
      </c>
      <c r="P40" s="171"/>
      <c r="Q40" s="171"/>
      <c r="R40" s="110"/>
      <c r="S40" s="110"/>
      <c r="T40" s="110"/>
      <c r="U40" s="110"/>
      <c r="V40" s="110"/>
      <c r="W40" s="110"/>
      <c r="X40" s="110"/>
      <c r="Y40" s="110"/>
      <c r="Z40" s="126"/>
      <c r="AB40" s="31" t="s">
        <v>223</v>
      </c>
      <c r="AC40" s="31" t="b">
        <v>0</v>
      </c>
    </row>
    <row r="41" spans="1:43" s="31" customFormat="1" ht="15" customHeight="1" thickBot="1" x14ac:dyDescent="0.25">
      <c r="A41" s="32"/>
      <c r="B41" s="170" t="s">
        <v>86</v>
      </c>
      <c r="C41" s="171"/>
      <c r="D41" s="171"/>
      <c r="E41" s="171" t="s">
        <v>87</v>
      </c>
      <c r="F41" s="171"/>
      <c r="G41" s="171"/>
      <c r="H41" s="171"/>
      <c r="I41" s="213"/>
      <c r="J41" s="213"/>
      <c r="K41" s="213"/>
      <c r="L41" s="213"/>
      <c r="M41" s="115"/>
      <c r="N41" s="163"/>
      <c r="O41" s="170" t="s">
        <v>85</v>
      </c>
      <c r="P41" s="171"/>
      <c r="Q41" s="171"/>
      <c r="R41" s="214"/>
      <c r="S41" s="214"/>
      <c r="T41" s="215"/>
      <c r="U41" s="214"/>
      <c r="V41" s="214"/>
      <c r="W41" s="214"/>
      <c r="X41" s="214"/>
      <c r="Y41" s="214"/>
      <c r="Z41" s="126"/>
    </row>
    <row r="42" spans="1:43" s="31" customFormat="1" ht="15" customHeight="1" thickBot="1" x14ac:dyDescent="0.25">
      <c r="A42" s="32"/>
      <c r="B42" s="170" t="s">
        <v>89</v>
      </c>
      <c r="C42" s="171"/>
      <c r="D42" s="171"/>
      <c r="E42" s="213"/>
      <c r="F42" s="213"/>
      <c r="G42" s="213"/>
      <c r="H42" s="213"/>
      <c r="I42" s="213"/>
      <c r="J42" s="213"/>
      <c r="K42" s="213"/>
      <c r="L42" s="171"/>
      <c r="M42" s="126"/>
      <c r="N42" s="166"/>
      <c r="O42" s="161" t="s">
        <v>88</v>
      </c>
      <c r="P42" s="113"/>
      <c r="Q42" s="113"/>
      <c r="R42" s="110"/>
      <c r="S42" s="110"/>
      <c r="T42" s="113"/>
      <c r="U42" s="110"/>
      <c r="V42" s="110"/>
      <c r="W42" s="110"/>
      <c r="X42" s="110"/>
      <c r="Y42" s="110"/>
      <c r="Z42" s="126"/>
    </row>
    <row r="43" spans="1:43" s="31" customFormat="1" ht="15" customHeight="1" thickBot="1" x14ac:dyDescent="0.25">
      <c r="A43" s="32"/>
      <c r="B43" s="170" t="s">
        <v>91</v>
      </c>
      <c r="C43" s="171"/>
      <c r="D43" s="171"/>
      <c r="E43" s="247"/>
      <c r="F43" s="247"/>
      <c r="G43" s="247"/>
      <c r="H43" s="247"/>
      <c r="I43" s="247"/>
      <c r="J43" s="247"/>
      <c r="K43" s="247"/>
      <c r="L43" s="247"/>
      <c r="M43" s="167"/>
      <c r="N43" s="32"/>
      <c r="O43" s="161" t="s">
        <v>90</v>
      </c>
      <c r="P43" s="113"/>
      <c r="Q43" s="113"/>
      <c r="R43" s="113"/>
      <c r="S43" s="113"/>
      <c r="T43" s="113"/>
      <c r="U43" s="110"/>
      <c r="V43" s="110"/>
      <c r="W43" s="110"/>
      <c r="X43" s="110"/>
      <c r="Y43" s="110"/>
      <c r="Z43" s="126"/>
    </row>
    <row r="44" spans="1:43" s="31" customFormat="1" ht="15" customHeight="1" thickBot="1" x14ac:dyDescent="0.25">
      <c r="A44" s="32"/>
      <c r="B44" s="170" t="s">
        <v>92</v>
      </c>
      <c r="C44" s="171"/>
      <c r="D44" s="171"/>
      <c r="E44" s="171"/>
      <c r="F44" s="171"/>
      <c r="G44" s="171"/>
      <c r="H44" s="171"/>
      <c r="I44" s="214"/>
      <c r="J44" s="214"/>
      <c r="K44" s="214"/>
      <c r="L44" s="213"/>
      <c r="M44" s="133"/>
      <c r="N44" s="168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26"/>
    </row>
    <row r="45" spans="1:43" s="154" customFormat="1" ht="15" customHeight="1" thickBot="1" x14ac:dyDescent="0.3">
      <c r="A45" s="216" t="s">
        <v>93</v>
      </c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8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9"/>
    </row>
    <row r="46" spans="1:43" s="31" customFormat="1" ht="14.25" x14ac:dyDescent="0.2">
      <c r="A46" s="210"/>
      <c r="B46" s="211"/>
      <c r="C46" s="211"/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2"/>
    </row>
    <row r="47" spans="1:43" s="31" customFormat="1" ht="14.25" x14ac:dyDescent="0.2">
      <c r="A47" s="198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200"/>
    </row>
    <row r="48" spans="1:43" s="31" customFormat="1" ht="14.25" x14ac:dyDescent="0.2">
      <c r="A48" s="198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200"/>
    </row>
    <row r="49" spans="1:26" s="31" customFormat="1" ht="14.25" x14ac:dyDescent="0.2">
      <c r="A49" s="198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200"/>
    </row>
    <row r="50" spans="1:26" s="31" customFormat="1" thickBot="1" x14ac:dyDescent="0.25">
      <c r="A50" s="201" t="s">
        <v>94</v>
      </c>
      <c r="B50" s="202"/>
      <c r="C50" s="202"/>
      <c r="D50" s="202"/>
      <c r="E50" s="202"/>
      <c r="F50" s="203"/>
      <c r="G50" s="204"/>
      <c r="H50" s="204"/>
      <c r="I50" s="204"/>
      <c r="J50" s="204"/>
      <c r="K50" s="204"/>
      <c r="L50" s="204"/>
      <c r="M50" s="204"/>
      <c r="N50" s="205" t="s">
        <v>95</v>
      </c>
      <c r="O50" s="206"/>
      <c r="P50" s="206"/>
      <c r="Q50" s="206"/>
      <c r="R50" s="207"/>
      <c r="S50" s="208"/>
      <c r="T50" s="208"/>
      <c r="U50" s="208"/>
      <c r="V50" s="208"/>
      <c r="W50" s="208"/>
      <c r="X50" s="208"/>
      <c r="Y50" s="208"/>
      <c r="Z50" s="134"/>
    </row>
    <row r="51" spans="1:26" s="31" customFormat="1" ht="4.1500000000000004" customHeight="1" thickBot="1" x14ac:dyDescent="0.25">
      <c r="A51" s="135"/>
      <c r="B51" s="38"/>
      <c r="C51" s="38"/>
      <c r="D51" s="38"/>
      <c r="E51" s="38"/>
      <c r="F51" s="136"/>
      <c r="G51" s="119"/>
      <c r="H51" s="119"/>
      <c r="I51" s="119"/>
      <c r="J51" s="119"/>
      <c r="K51" s="119"/>
      <c r="L51" s="119"/>
      <c r="M51" s="119"/>
      <c r="N51" s="137"/>
      <c r="O51" s="119"/>
      <c r="P51" s="119"/>
      <c r="Q51" s="119"/>
      <c r="R51" s="39"/>
      <c r="S51" s="119"/>
      <c r="T51" s="119"/>
      <c r="U51" s="119"/>
      <c r="V51" s="119"/>
      <c r="W51" s="119"/>
      <c r="X51" s="119"/>
      <c r="Y51" s="119"/>
      <c r="Z51" s="138"/>
    </row>
    <row r="52" spans="1:26" s="31" customFormat="1" thickBot="1" x14ac:dyDescent="0.25">
      <c r="A52" s="195" t="s">
        <v>96</v>
      </c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7"/>
    </row>
    <row r="53" spans="1:26" s="31" customFormat="1" ht="14.25" x14ac:dyDescent="0.2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</row>
    <row r="54" spans="1:26" s="31" customFormat="1" ht="14.25" x14ac:dyDescent="0.2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</row>
    <row r="55" spans="1:26" s="31" customFormat="1" ht="14.25" x14ac:dyDescent="0.2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</row>
    <row r="56" spans="1:26" s="31" customFormat="1" ht="14.25" x14ac:dyDescent="0.2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</row>
    <row r="57" spans="1:26" s="31" customFormat="1" ht="14.25" x14ac:dyDescent="0.2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</row>
    <row r="58" spans="1:26" s="31" customFormat="1" thickBot="1" x14ac:dyDescent="0.25">
      <c r="A58" s="111"/>
      <c r="B58" s="111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</row>
    <row r="59" spans="1:26" s="31" customFormat="1" ht="15.75" thickBot="1" x14ac:dyDescent="0.3">
      <c r="A59" s="186" t="s">
        <v>468</v>
      </c>
      <c r="B59" s="187"/>
      <c r="C59" s="187"/>
      <c r="D59" s="187"/>
      <c r="E59" s="187"/>
      <c r="F59" s="187"/>
      <c r="G59" s="187"/>
      <c r="H59" s="187"/>
      <c r="I59" s="187"/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  <c r="X59" s="187"/>
      <c r="Y59" s="187"/>
      <c r="Z59" s="188"/>
    </row>
    <row r="60" spans="1:26" s="31" customFormat="1" ht="18" customHeight="1" x14ac:dyDescent="0.25">
      <c r="A60" s="155" t="s">
        <v>332</v>
      </c>
      <c r="B60" s="156"/>
      <c r="C60" s="156"/>
      <c r="D60" s="156"/>
      <c r="E60" s="156"/>
      <c r="F60" s="156"/>
      <c r="G60" s="156"/>
      <c r="H60" s="156"/>
      <c r="I60" s="156"/>
      <c r="J60" s="156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8"/>
    </row>
    <row r="61" spans="1:26" s="31" customFormat="1" ht="18" customHeight="1" x14ac:dyDescent="0.25">
      <c r="A61" s="142"/>
      <c r="B61" s="192" t="s">
        <v>333</v>
      </c>
      <c r="C61" s="192"/>
      <c r="D61" s="192"/>
      <c r="E61" s="192"/>
      <c r="F61" s="184" t="s">
        <v>334</v>
      </c>
      <c r="G61" s="185"/>
      <c r="H61" s="185"/>
      <c r="I61" s="185"/>
      <c r="J61" s="185"/>
      <c r="K61" s="185"/>
      <c r="L61" s="185"/>
      <c r="M61" s="185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39"/>
    </row>
    <row r="62" spans="1:26" s="31" customFormat="1" ht="18" customHeight="1" x14ac:dyDescent="0.25">
      <c r="A62" s="142"/>
      <c r="B62" s="171" t="s">
        <v>99</v>
      </c>
      <c r="C62" s="171"/>
      <c r="D62" s="171"/>
      <c r="E62" s="115"/>
      <c r="F62" s="180" t="s">
        <v>338</v>
      </c>
      <c r="G62" s="191"/>
      <c r="H62" s="191"/>
      <c r="I62" s="191"/>
      <c r="J62" s="191"/>
      <c r="K62" s="191"/>
      <c r="L62" s="191"/>
      <c r="M62" s="19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39"/>
    </row>
    <row r="63" spans="1:26" s="31" customFormat="1" ht="18" customHeight="1" x14ac:dyDescent="0.25">
      <c r="A63" s="142"/>
      <c r="B63" s="171" t="s">
        <v>340</v>
      </c>
      <c r="C63" s="171"/>
      <c r="D63" s="171"/>
      <c r="E63" s="115"/>
      <c r="F63" s="184" t="s">
        <v>341</v>
      </c>
      <c r="G63" s="184"/>
      <c r="H63" s="184"/>
      <c r="I63" s="184"/>
      <c r="J63" s="184"/>
      <c r="K63" s="184"/>
      <c r="L63" s="184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39"/>
    </row>
    <row r="64" spans="1:26" s="31" customFormat="1" ht="18" customHeight="1" x14ac:dyDescent="0.25">
      <c r="A64" s="142"/>
      <c r="B64" s="171" t="s">
        <v>456</v>
      </c>
      <c r="C64" s="171"/>
      <c r="D64" s="171"/>
      <c r="E64" s="115"/>
      <c r="F64" s="191" t="s">
        <v>457</v>
      </c>
      <c r="G64" s="191"/>
      <c r="H64" s="191"/>
      <c r="I64" s="191"/>
      <c r="J64" s="191"/>
      <c r="K64" s="191"/>
      <c r="L64" s="19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39"/>
    </row>
    <row r="65" spans="1:42" s="31" customFormat="1" ht="18" customHeight="1" x14ac:dyDescent="0.25">
      <c r="A65" s="142" t="s">
        <v>458</v>
      </c>
      <c r="B65" s="115"/>
      <c r="C65" s="115"/>
      <c r="D65" s="115"/>
      <c r="E65" s="115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39"/>
    </row>
    <row r="66" spans="1:42" s="31" customFormat="1" ht="18" customHeight="1" x14ac:dyDescent="0.25">
      <c r="A66" s="143"/>
      <c r="B66" s="209" t="s">
        <v>413</v>
      </c>
      <c r="C66" s="209"/>
      <c r="D66" s="209"/>
      <c r="E66" s="115"/>
      <c r="F66" s="180" t="s">
        <v>345</v>
      </c>
      <c r="G66" s="180"/>
      <c r="H66" s="180"/>
      <c r="I66" s="180"/>
      <c r="J66" s="180"/>
      <c r="K66" s="180"/>
      <c r="L66" s="180"/>
      <c r="M66" s="180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39"/>
    </row>
    <row r="67" spans="1:42" s="31" customFormat="1" ht="18" customHeight="1" x14ac:dyDescent="0.25">
      <c r="A67" s="143"/>
      <c r="B67" s="171" t="s">
        <v>207</v>
      </c>
      <c r="C67" s="171"/>
      <c r="D67" s="171"/>
      <c r="E67" s="111"/>
      <c r="F67" s="180" t="s">
        <v>346</v>
      </c>
      <c r="G67" s="180"/>
      <c r="H67" s="180"/>
      <c r="I67" s="180"/>
      <c r="J67" s="180"/>
      <c r="K67" s="180"/>
      <c r="L67" s="180"/>
      <c r="M67" s="180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39"/>
    </row>
    <row r="68" spans="1:42" s="31" customFormat="1" ht="18" customHeight="1" x14ac:dyDescent="0.25">
      <c r="A68" s="143"/>
      <c r="B68" s="113" t="s">
        <v>208</v>
      </c>
      <c r="C68" s="113"/>
      <c r="D68" s="113"/>
      <c r="E68" s="111"/>
      <c r="F68" s="189" t="s">
        <v>461</v>
      </c>
      <c r="G68" s="189"/>
      <c r="H68" s="189"/>
      <c r="I68" s="189"/>
      <c r="J68" s="189"/>
      <c r="K68" s="189"/>
      <c r="L68" s="189"/>
      <c r="M68" s="189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139"/>
    </row>
    <row r="69" spans="1:42" s="31" customFormat="1" ht="18" customHeight="1" x14ac:dyDescent="0.25">
      <c r="A69" s="193" t="s">
        <v>459</v>
      </c>
      <c r="B69" s="194"/>
      <c r="C69" s="194"/>
      <c r="D69" s="194"/>
      <c r="E69" s="194"/>
      <c r="F69" s="194"/>
      <c r="G69" s="194"/>
      <c r="H69" s="194"/>
      <c r="I69" s="194"/>
      <c r="J69" s="194"/>
      <c r="K69" s="194"/>
      <c r="L69" s="112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39"/>
    </row>
    <row r="70" spans="1:42" s="31" customFormat="1" ht="18" customHeight="1" x14ac:dyDescent="0.25">
      <c r="A70" s="143"/>
      <c r="B70" s="171" t="s">
        <v>205</v>
      </c>
      <c r="C70" s="171"/>
      <c r="D70" s="171"/>
      <c r="E70" s="171"/>
      <c r="F70" s="189" t="s">
        <v>461</v>
      </c>
      <c r="G70" s="189"/>
      <c r="H70" s="189"/>
      <c r="I70" s="189"/>
      <c r="J70" s="189"/>
      <c r="K70" s="189"/>
      <c r="L70" s="189"/>
      <c r="M70" s="189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39"/>
    </row>
    <row r="71" spans="1:42" s="31" customFormat="1" ht="18" customHeight="1" x14ac:dyDescent="0.25">
      <c r="A71" s="143"/>
      <c r="B71" s="171" t="s">
        <v>460</v>
      </c>
      <c r="C71" s="171"/>
      <c r="D71" s="171"/>
      <c r="E71" s="171"/>
      <c r="F71" s="189" t="s">
        <v>461</v>
      </c>
      <c r="G71" s="189"/>
      <c r="H71" s="189"/>
      <c r="I71" s="189"/>
      <c r="J71" s="189"/>
      <c r="K71" s="189"/>
      <c r="L71" s="189"/>
      <c r="M71" s="189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  <c r="Z71" s="139"/>
    </row>
    <row r="72" spans="1:42" s="31" customFormat="1" ht="18" customHeight="1" x14ac:dyDescent="0.25">
      <c r="A72" s="193" t="s">
        <v>355</v>
      </c>
      <c r="B72" s="194"/>
      <c r="C72" s="194"/>
      <c r="D72" s="194"/>
      <c r="E72" s="194"/>
      <c r="F72" s="194"/>
      <c r="G72" s="194"/>
      <c r="H72" s="194"/>
      <c r="I72" s="194"/>
      <c r="J72" s="194"/>
      <c r="K72" s="194"/>
      <c r="L72" s="114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  <c r="Z72" s="139"/>
    </row>
    <row r="73" spans="1:42" s="31" customFormat="1" ht="18" customHeight="1" x14ac:dyDescent="0.25">
      <c r="A73" s="143"/>
      <c r="B73" s="192" t="s">
        <v>356</v>
      </c>
      <c r="C73" s="192"/>
      <c r="D73" s="192"/>
      <c r="E73" s="192"/>
      <c r="F73" s="180" t="s">
        <v>357</v>
      </c>
      <c r="G73" s="191"/>
      <c r="H73" s="191"/>
      <c r="I73" s="191"/>
      <c r="J73" s="191"/>
      <c r="K73" s="191"/>
      <c r="L73" s="191"/>
      <c r="M73" s="111"/>
      <c r="N73" s="111"/>
      <c r="O73" s="111"/>
      <c r="P73" s="111"/>
      <c r="Q73" s="112"/>
      <c r="R73" s="111"/>
      <c r="S73" s="111"/>
      <c r="T73" s="111"/>
      <c r="U73" s="111"/>
      <c r="V73" s="111"/>
      <c r="W73" s="111"/>
      <c r="X73" s="111"/>
      <c r="Y73" s="111"/>
      <c r="Z73" s="139"/>
    </row>
    <row r="74" spans="1:42" s="31" customFormat="1" ht="18" customHeight="1" x14ac:dyDescent="0.25">
      <c r="A74" s="143"/>
      <c r="B74" s="192" t="s">
        <v>461</v>
      </c>
      <c r="C74" s="192"/>
      <c r="D74" s="192"/>
      <c r="E74" s="192"/>
      <c r="F74" s="189" t="s">
        <v>461</v>
      </c>
      <c r="G74" s="189"/>
      <c r="H74" s="189"/>
      <c r="I74" s="189"/>
      <c r="J74" s="189"/>
      <c r="K74" s="189"/>
      <c r="L74" s="189"/>
      <c r="M74" s="189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39"/>
    </row>
    <row r="75" spans="1:42" s="31" customFormat="1" ht="18" customHeight="1" x14ac:dyDescent="0.2">
      <c r="A75" s="190" t="s">
        <v>359</v>
      </c>
      <c r="B75" s="191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39"/>
    </row>
    <row r="76" spans="1:42" s="31" customFormat="1" ht="18" customHeight="1" x14ac:dyDescent="0.25">
      <c r="A76" s="143"/>
      <c r="B76" s="192" t="s">
        <v>462</v>
      </c>
      <c r="C76" s="192"/>
      <c r="D76" s="192"/>
      <c r="E76" s="192"/>
      <c r="F76" s="180" t="s">
        <v>361</v>
      </c>
      <c r="G76" s="171"/>
      <c r="H76" s="171"/>
      <c r="I76" s="171"/>
      <c r="J76" s="171"/>
      <c r="K76" s="171"/>
      <c r="L76" s="171"/>
      <c r="M76" s="17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39"/>
      <c r="AP76" s="116">
        <v>44783</v>
      </c>
    </row>
    <row r="77" spans="1:42" s="31" customFormat="1" ht="18" customHeight="1" x14ac:dyDescent="0.25">
      <c r="A77" s="5"/>
      <c r="B77" s="192"/>
      <c r="C77" s="192"/>
      <c r="D77" s="192"/>
      <c r="E77" s="192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 s="6"/>
    </row>
    <row r="78" spans="1:42" s="31" customFormat="1" ht="18" customHeight="1" x14ac:dyDescent="0.25">
      <c r="A78" s="190" t="s">
        <v>463</v>
      </c>
      <c r="B78" s="191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/>
      <c r="O78"/>
      <c r="P78"/>
      <c r="Q78"/>
      <c r="R78"/>
      <c r="S78"/>
      <c r="T78"/>
      <c r="U78"/>
      <c r="V78"/>
      <c r="W78"/>
      <c r="X78"/>
      <c r="Y78"/>
      <c r="Z78" s="6"/>
    </row>
    <row r="79" spans="1:42" s="31" customFormat="1" ht="18" customHeight="1" x14ac:dyDescent="0.25">
      <c r="A79" s="144"/>
      <c r="B79" s="169" t="s">
        <v>464</v>
      </c>
      <c r="C79" s="169"/>
      <c r="D79" s="169"/>
      <c r="E79" s="169"/>
      <c r="F79" s="180" t="s">
        <v>349</v>
      </c>
      <c r="G79" s="169"/>
      <c r="H79" s="169"/>
      <c r="I79" s="169"/>
      <c r="J79" s="169"/>
      <c r="K79" s="169"/>
      <c r="L79" s="169"/>
      <c r="M79" s="169"/>
      <c r="N79"/>
      <c r="O79"/>
      <c r="P79"/>
      <c r="Q79"/>
      <c r="R79"/>
      <c r="S79"/>
      <c r="T79"/>
      <c r="U79"/>
      <c r="V79"/>
      <c r="W79"/>
      <c r="X79"/>
      <c r="Y79"/>
      <c r="Z79" s="6"/>
    </row>
    <row r="80" spans="1:42" s="31" customFormat="1" ht="18" customHeight="1" x14ac:dyDescent="0.25">
      <c r="A80" s="144"/>
      <c r="B80" s="169" t="s">
        <v>350</v>
      </c>
      <c r="C80" s="169"/>
      <c r="D80" s="169"/>
      <c r="E80" s="169"/>
      <c r="F80" s="180" t="s">
        <v>351</v>
      </c>
      <c r="G80" s="169"/>
      <c r="H80" s="169"/>
      <c r="I80" s="169"/>
      <c r="J80" s="169"/>
      <c r="K80" s="169"/>
      <c r="L80" s="169"/>
      <c r="M80" s="169"/>
      <c r="N80"/>
      <c r="O80"/>
      <c r="P80"/>
      <c r="Q80"/>
      <c r="R80"/>
      <c r="S80"/>
      <c r="T80"/>
      <c r="U80"/>
      <c r="V80"/>
      <c r="W80"/>
      <c r="X80"/>
      <c r="Y80"/>
      <c r="Z80" s="6"/>
    </row>
    <row r="81" spans="1:26" s="31" customFormat="1" ht="18" customHeight="1" x14ac:dyDescent="0.25">
      <c r="A81" s="144"/>
      <c r="B81" s="169" t="s">
        <v>465</v>
      </c>
      <c r="C81" s="169"/>
      <c r="D81" s="169"/>
      <c r="E81" s="169"/>
      <c r="F81" s="180" t="s">
        <v>353</v>
      </c>
      <c r="G81" s="169"/>
      <c r="H81" s="169"/>
      <c r="I81" s="169"/>
      <c r="J81" s="169"/>
      <c r="K81" s="169"/>
      <c r="L81" s="169"/>
      <c r="M81" s="169"/>
      <c r="N81"/>
      <c r="O81"/>
      <c r="P81"/>
      <c r="Q81"/>
      <c r="R81"/>
      <c r="S81"/>
      <c r="T81"/>
      <c r="U81"/>
      <c r="V81"/>
      <c r="W81"/>
      <c r="X81"/>
      <c r="Y81"/>
      <c r="Z81" s="6"/>
    </row>
    <row r="82" spans="1:26" s="31" customFormat="1" ht="18" customHeight="1" x14ac:dyDescent="0.25">
      <c r="A82" s="144"/>
      <c r="B82" s="169" t="s">
        <v>466</v>
      </c>
      <c r="C82" s="169"/>
      <c r="D82" s="169"/>
      <c r="E82" s="169"/>
      <c r="F82" s="180" t="s">
        <v>467</v>
      </c>
      <c r="G82" s="169"/>
      <c r="H82" s="169"/>
      <c r="I82" s="169"/>
      <c r="J82" s="169"/>
      <c r="K82" s="169"/>
      <c r="L82" s="169"/>
      <c r="M82" s="169"/>
      <c r="N82"/>
      <c r="O82"/>
      <c r="P82"/>
      <c r="Q82"/>
      <c r="R82"/>
      <c r="S82"/>
      <c r="T82"/>
      <c r="U82"/>
      <c r="V82"/>
      <c r="W82"/>
      <c r="X82"/>
      <c r="Y82"/>
      <c r="Z82" s="6"/>
    </row>
    <row r="83" spans="1:26" s="31" customFormat="1" ht="18" customHeight="1" x14ac:dyDescent="0.25">
      <c r="A83" s="181" t="s">
        <v>211</v>
      </c>
      <c r="B83" s="182"/>
      <c r="C83" s="182"/>
      <c r="D83" s="182"/>
      <c r="E83" s="182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 s="6"/>
    </row>
    <row r="84" spans="1:26" s="31" customFormat="1" ht="18" customHeight="1" x14ac:dyDescent="0.25">
      <c r="A84" s="144"/>
      <c r="B84" s="81" t="s">
        <v>362</v>
      </c>
      <c r="C84" s="81"/>
      <c r="D84" s="81"/>
      <c r="E84" s="81"/>
      <c r="F84" s="180" t="s">
        <v>363</v>
      </c>
      <c r="G84" s="169"/>
      <c r="H84" s="169"/>
      <c r="I84" s="169"/>
      <c r="J84" s="169"/>
      <c r="K84" s="169"/>
      <c r="L84" s="169"/>
      <c r="N84"/>
      <c r="O84"/>
      <c r="P84" t="s">
        <v>471</v>
      </c>
      <c r="Q84"/>
      <c r="R84"/>
      <c r="S84"/>
      <c r="T84"/>
      <c r="U84"/>
      <c r="V84"/>
      <c r="W84"/>
      <c r="X84"/>
      <c r="Y84"/>
      <c r="Z84" s="6"/>
    </row>
    <row r="85" spans="1:26" s="31" customFormat="1" ht="18" customHeight="1" x14ac:dyDescent="0.25">
      <c r="A85" s="144"/>
      <c r="B85" s="81" t="s">
        <v>469</v>
      </c>
      <c r="C85" s="81"/>
      <c r="D85" s="81"/>
      <c r="E85" s="81"/>
      <c r="F85" s="180" t="s">
        <v>365</v>
      </c>
      <c r="G85" s="169"/>
      <c r="H85" s="169"/>
      <c r="I85" s="169"/>
      <c r="J85" s="169"/>
      <c r="K85" s="169"/>
      <c r="L85" s="169"/>
      <c r="N85"/>
      <c r="O85"/>
      <c r="P85" t="s">
        <v>470</v>
      </c>
      <c r="Q85"/>
      <c r="R85"/>
      <c r="S85"/>
      <c r="T85"/>
      <c r="U85"/>
      <c r="V85"/>
      <c r="W85"/>
      <c r="X85"/>
      <c r="Y85"/>
      <c r="Z85" s="6"/>
    </row>
    <row r="86" spans="1:26" ht="18" customHeight="1" x14ac:dyDescent="0.25">
      <c r="A86" s="5"/>
      <c r="B86" s="185" t="s">
        <v>366</v>
      </c>
      <c r="C86" s="185"/>
      <c r="D86" s="185"/>
      <c r="E86" s="185"/>
      <c r="Z86" s="6"/>
    </row>
    <row r="87" spans="1:26" ht="18" customHeight="1" x14ac:dyDescent="0.25">
      <c r="A87" s="5"/>
      <c r="Z87" s="6"/>
    </row>
    <row r="88" spans="1:26" ht="18" customHeight="1" x14ac:dyDescent="0.25">
      <c r="A88" s="181" t="s">
        <v>472</v>
      </c>
      <c r="B88" s="182"/>
      <c r="C88" s="182"/>
      <c r="D88" s="182"/>
      <c r="E88" s="182"/>
      <c r="Z88" s="6"/>
    </row>
    <row r="89" spans="1:26" ht="18" customHeight="1" x14ac:dyDescent="0.25">
      <c r="A89" s="5"/>
      <c r="B89" s="169" t="s">
        <v>473</v>
      </c>
      <c r="C89" s="169"/>
      <c r="D89" s="169"/>
      <c r="E89" s="169"/>
      <c r="F89" s="180" t="s">
        <v>369</v>
      </c>
      <c r="G89" s="169"/>
      <c r="H89" s="169"/>
      <c r="I89" s="169"/>
      <c r="J89" s="169"/>
      <c r="K89" s="169"/>
      <c r="L89" s="169"/>
      <c r="Z89" s="6"/>
    </row>
    <row r="90" spans="1:26" ht="18" customHeight="1" x14ac:dyDescent="0.25">
      <c r="A90" s="5"/>
      <c r="B90" s="179"/>
      <c r="C90" s="179"/>
      <c r="D90" s="179"/>
      <c r="E90" s="179"/>
      <c r="Z90" s="6"/>
    </row>
    <row r="91" spans="1:26" ht="18" customHeight="1" x14ac:dyDescent="0.25">
      <c r="A91" s="181" t="s">
        <v>223</v>
      </c>
      <c r="B91" s="182"/>
      <c r="C91" s="182"/>
      <c r="D91" s="182"/>
      <c r="E91" s="182"/>
      <c r="Z91" s="6"/>
    </row>
    <row r="92" spans="1:26" ht="18" customHeight="1" x14ac:dyDescent="0.25">
      <c r="A92" s="145"/>
      <c r="B92" s="183" t="s">
        <v>475</v>
      </c>
      <c r="C92" s="183"/>
      <c r="D92" s="183"/>
      <c r="E92" s="183"/>
      <c r="F92" s="146" t="s">
        <v>371</v>
      </c>
      <c r="Z92" s="6"/>
    </row>
    <row r="93" spans="1:26" ht="18" customHeight="1" x14ac:dyDescent="0.25">
      <c r="A93" s="145"/>
      <c r="B93" s="81" t="s">
        <v>209</v>
      </c>
      <c r="C93" s="59"/>
      <c r="D93" s="59"/>
      <c r="E93" s="59"/>
      <c r="F93" s="180" t="s">
        <v>373</v>
      </c>
      <c r="G93" s="169"/>
      <c r="H93" s="169"/>
      <c r="I93" s="169"/>
      <c r="J93" s="169"/>
      <c r="K93" s="169"/>
      <c r="L93" s="169"/>
      <c r="M93" s="169"/>
      <c r="P93" t="s">
        <v>477</v>
      </c>
      <c r="Z93" s="6"/>
    </row>
    <row r="94" spans="1:26" ht="18" customHeight="1" x14ac:dyDescent="0.25">
      <c r="A94" s="145"/>
      <c r="B94" s="81" t="s">
        <v>210</v>
      </c>
      <c r="C94" s="59"/>
      <c r="D94" s="59"/>
      <c r="E94" s="59"/>
      <c r="F94" s="184" t="s">
        <v>375</v>
      </c>
      <c r="G94" s="185"/>
      <c r="H94" s="185"/>
      <c r="I94" s="185"/>
      <c r="J94" s="185"/>
      <c r="K94" s="185"/>
      <c r="L94" s="185"/>
      <c r="M94" s="185"/>
      <c r="Z94" s="6"/>
    </row>
    <row r="95" spans="1:26" ht="18" customHeight="1" x14ac:dyDescent="0.25">
      <c r="A95" s="181" t="s">
        <v>474</v>
      </c>
      <c r="B95" s="182"/>
      <c r="C95" s="182"/>
      <c r="D95" s="182"/>
      <c r="E95" s="182"/>
      <c r="Z95" s="6"/>
    </row>
    <row r="96" spans="1:26" ht="18" customHeight="1" x14ac:dyDescent="0.25">
      <c r="A96" s="145"/>
      <c r="B96" s="169" t="s">
        <v>476</v>
      </c>
      <c r="C96" s="169"/>
      <c r="D96" s="59"/>
      <c r="E96" s="59"/>
      <c r="Z96" s="6"/>
    </row>
    <row r="97" spans="1:26" ht="18" customHeight="1" thickBot="1" x14ac:dyDescent="0.3">
      <c r="A97" s="159"/>
      <c r="B97" s="2"/>
      <c r="C97" s="2"/>
      <c r="D97" s="160"/>
      <c r="E97" s="160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10"/>
    </row>
    <row r="98" spans="1:26" ht="18" customHeight="1" x14ac:dyDescent="0.25">
      <c r="A98" s="147"/>
      <c r="C98" s="147"/>
      <c r="D98" s="147"/>
      <c r="E98" s="147"/>
    </row>
    <row r="99" spans="1:26" ht="18" customHeight="1" x14ac:dyDescent="0.25">
      <c r="A99" s="147"/>
      <c r="C99" s="147"/>
      <c r="D99" s="147"/>
      <c r="E99" s="147"/>
    </row>
  </sheetData>
  <mergeCells count="154">
    <mergeCell ref="B35:E35"/>
    <mergeCell ref="B36:E36"/>
    <mergeCell ref="B37:E37"/>
    <mergeCell ref="B38:E38"/>
    <mergeCell ref="H36:M36"/>
    <mergeCell ref="B41:D41"/>
    <mergeCell ref="E41:H41"/>
    <mergeCell ref="B42:D42"/>
    <mergeCell ref="B43:D43"/>
    <mergeCell ref="E43:L43"/>
    <mergeCell ref="O37:S37"/>
    <mergeCell ref="O38:Q38"/>
    <mergeCell ref="O40:Q40"/>
    <mergeCell ref="O41:Q41"/>
    <mergeCell ref="O34:R34"/>
    <mergeCell ref="W31:Z31"/>
    <mergeCell ref="W32:Z32"/>
    <mergeCell ref="W33:Z33"/>
    <mergeCell ref="W34:Z34"/>
    <mergeCell ref="B16:D16"/>
    <mergeCell ref="B17:D17"/>
    <mergeCell ref="B18:D18"/>
    <mergeCell ref="B19:E19"/>
    <mergeCell ref="O28:R28"/>
    <mergeCell ref="O27:R27"/>
    <mergeCell ref="O31:Q31"/>
    <mergeCell ref="O32:R32"/>
    <mergeCell ref="O33:R33"/>
    <mergeCell ref="B26:D26"/>
    <mergeCell ref="F24:G24"/>
    <mergeCell ref="F25:G25"/>
    <mergeCell ref="F26:G26"/>
    <mergeCell ref="I24:J24"/>
    <mergeCell ref="I26:J26"/>
    <mergeCell ref="A1:K2"/>
    <mergeCell ref="L1:Z2"/>
    <mergeCell ref="E3:K3"/>
    <mergeCell ref="R3:Y3"/>
    <mergeCell ref="E4:K4"/>
    <mergeCell ref="R4:Y4"/>
    <mergeCell ref="I13:L13"/>
    <mergeCell ref="S13:Y13"/>
    <mergeCell ref="B5:F5"/>
    <mergeCell ref="H5:L5"/>
    <mergeCell ref="N5:S5"/>
    <mergeCell ref="T5:Y5"/>
    <mergeCell ref="D6:M6"/>
    <mergeCell ref="R6:Z6"/>
    <mergeCell ref="O11:R11"/>
    <mergeCell ref="O12:R12"/>
    <mergeCell ref="O13:R13"/>
    <mergeCell ref="B11:F11"/>
    <mergeCell ref="B12:F12"/>
    <mergeCell ref="B13:F13"/>
    <mergeCell ref="I11:L11"/>
    <mergeCell ref="I12:L12"/>
    <mergeCell ref="U23:Y23"/>
    <mergeCell ref="H20:L20"/>
    <mergeCell ref="Q20:S20"/>
    <mergeCell ref="Q24:Y24"/>
    <mergeCell ref="S27:Y27"/>
    <mergeCell ref="B20:G20"/>
    <mergeCell ref="B23:J23"/>
    <mergeCell ref="B24:D24"/>
    <mergeCell ref="B25:D25"/>
    <mergeCell ref="U20:V20"/>
    <mergeCell ref="W20:Y20"/>
    <mergeCell ref="A46:Z46"/>
    <mergeCell ref="R38:Y38"/>
    <mergeCell ref="R41:Y41"/>
    <mergeCell ref="I41:L41"/>
    <mergeCell ref="E42:L42"/>
    <mergeCell ref="I44:L44"/>
    <mergeCell ref="A45:Z45"/>
    <mergeCell ref="B44:H44"/>
    <mergeCell ref="A6:C6"/>
    <mergeCell ref="S11:Y11"/>
    <mergeCell ref="S12:Y12"/>
    <mergeCell ref="S28:Y28"/>
    <mergeCell ref="S14:Y14"/>
    <mergeCell ref="S15:Y15"/>
    <mergeCell ref="E16:L16"/>
    <mergeCell ref="E17:L17"/>
    <mergeCell ref="E18:L18"/>
    <mergeCell ref="G19:L19"/>
    <mergeCell ref="O14:R14"/>
    <mergeCell ref="O15:R15"/>
    <mergeCell ref="O16:V16"/>
    <mergeCell ref="O17:T17"/>
    <mergeCell ref="U21:Y21"/>
    <mergeCell ref="U22:Y22"/>
    <mergeCell ref="F62:M62"/>
    <mergeCell ref="F63:L63"/>
    <mergeCell ref="F64:L64"/>
    <mergeCell ref="F73:L73"/>
    <mergeCell ref="A52:Z52"/>
    <mergeCell ref="A83:E83"/>
    <mergeCell ref="A47:Z47"/>
    <mergeCell ref="A48:Z48"/>
    <mergeCell ref="A49:Z49"/>
    <mergeCell ref="A50:E50"/>
    <mergeCell ref="F50:M50"/>
    <mergeCell ref="N50:Q50"/>
    <mergeCell ref="R50:Y50"/>
    <mergeCell ref="B61:E61"/>
    <mergeCell ref="B62:D62"/>
    <mergeCell ref="B63:D63"/>
    <mergeCell ref="B64:D64"/>
    <mergeCell ref="B66:D66"/>
    <mergeCell ref="F61:M61"/>
    <mergeCell ref="B81:E81"/>
    <mergeCell ref="B82:E82"/>
    <mergeCell ref="F79:M79"/>
    <mergeCell ref="F80:M80"/>
    <mergeCell ref="F81:M81"/>
    <mergeCell ref="F82:M82"/>
    <mergeCell ref="B67:D67"/>
    <mergeCell ref="B73:E73"/>
    <mergeCell ref="B74:E74"/>
    <mergeCell ref="B76:E76"/>
    <mergeCell ref="B77:E77"/>
    <mergeCell ref="A72:K72"/>
    <mergeCell ref="A69:K69"/>
    <mergeCell ref="B70:E70"/>
    <mergeCell ref="B71:E71"/>
    <mergeCell ref="F70:M70"/>
    <mergeCell ref="F71:M71"/>
    <mergeCell ref="A75:M75"/>
    <mergeCell ref="F76:M76"/>
    <mergeCell ref="F68:M68"/>
    <mergeCell ref="B96:C96"/>
    <mergeCell ref="I25:L25"/>
    <mergeCell ref="A9:Z9"/>
    <mergeCell ref="E7:M7"/>
    <mergeCell ref="R7:Z7"/>
    <mergeCell ref="B90:E90"/>
    <mergeCell ref="F89:L89"/>
    <mergeCell ref="A91:E91"/>
    <mergeCell ref="A95:E95"/>
    <mergeCell ref="B92:E92"/>
    <mergeCell ref="F94:M94"/>
    <mergeCell ref="F93:M93"/>
    <mergeCell ref="A59:Z59"/>
    <mergeCell ref="F84:L84"/>
    <mergeCell ref="F85:L85"/>
    <mergeCell ref="F66:M66"/>
    <mergeCell ref="F67:M67"/>
    <mergeCell ref="F74:M74"/>
    <mergeCell ref="B86:E86"/>
    <mergeCell ref="A88:E88"/>
    <mergeCell ref="B89:E89"/>
    <mergeCell ref="A78:M78"/>
    <mergeCell ref="B79:E79"/>
    <mergeCell ref="B80:E80"/>
  </mergeCells>
  <conditionalFormatting sqref="F10 N37:N38 N40:N43">
    <cfRule type="cellIs" dxfId="34" priority="37" stopIfTrue="1" operator="equal">
      <formula>1</formula>
    </cfRule>
  </conditionalFormatting>
  <conditionalFormatting sqref="I10">
    <cfRule type="cellIs" dxfId="33" priority="36" stopIfTrue="1" operator="equal">
      <formula>1</formula>
    </cfRule>
  </conditionalFormatting>
  <conditionalFormatting sqref="A11">
    <cfRule type="cellIs" dxfId="32" priority="35" stopIfTrue="1" operator="equal">
      <formula>1</formula>
    </cfRule>
  </conditionalFormatting>
  <conditionalFormatting sqref="A12">
    <cfRule type="cellIs" dxfId="31" priority="34" stopIfTrue="1" operator="equal">
      <formula>1</formula>
    </cfRule>
  </conditionalFormatting>
  <conditionalFormatting sqref="A13">
    <cfRule type="cellIs" dxfId="30" priority="33" stopIfTrue="1" operator="equal">
      <formula>1</formula>
    </cfRule>
  </conditionalFormatting>
  <conditionalFormatting sqref="H11">
    <cfRule type="cellIs" dxfId="29" priority="32" stopIfTrue="1" operator="equal">
      <formula>1</formula>
    </cfRule>
  </conditionalFormatting>
  <conditionalFormatting sqref="H12">
    <cfRule type="cellIs" dxfId="28" priority="31" stopIfTrue="1" operator="equal">
      <formula>1</formula>
    </cfRule>
  </conditionalFormatting>
  <conditionalFormatting sqref="H13">
    <cfRule type="cellIs" dxfId="27" priority="30" stopIfTrue="1" operator="equal">
      <formula>1</formula>
    </cfRule>
  </conditionalFormatting>
  <conditionalFormatting sqref="U10">
    <cfRule type="cellIs" dxfId="26" priority="29" stopIfTrue="1" operator="equal">
      <formula>1</formula>
    </cfRule>
  </conditionalFormatting>
  <conditionalFormatting sqref="X10">
    <cfRule type="cellIs" dxfId="25" priority="28" stopIfTrue="1" operator="equal">
      <formula>1</formula>
    </cfRule>
  </conditionalFormatting>
  <conditionalFormatting sqref="N11:N17">
    <cfRule type="cellIs" dxfId="24" priority="27" stopIfTrue="1" operator="equal">
      <formula>1</formula>
    </cfRule>
  </conditionalFormatting>
  <conditionalFormatting sqref="I15 F15">
    <cfRule type="cellIs" dxfId="23" priority="26" stopIfTrue="1" operator="equal">
      <formula>1</formula>
    </cfRule>
  </conditionalFormatting>
  <conditionalFormatting sqref="A16:A20">
    <cfRule type="cellIs" dxfId="22" priority="25" stopIfTrue="1" operator="equal">
      <formula>1</formula>
    </cfRule>
  </conditionalFormatting>
  <conditionalFormatting sqref="X19 U19 T20:T23 N20:N24">
    <cfRule type="cellIs" dxfId="21" priority="24" stopIfTrue="1" operator="equal">
      <formula>1</formula>
    </cfRule>
  </conditionalFormatting>
  <conditionalFormatting sqref="V31:V34 R31 N31:N34 X30 U30 H30 A29:A32 N27:N28 X26 U26 I28 F28">
    <cfRule type="cellIs" dxfId="20" priority="22" stopIfTrue="1" operator="equal">
      <formula>1</formula>
    </cfRule>
  </conditionalFormatting>
  <conditionalFormatting sqref="A41:A44 K40 H40 X36 U36 G35:G37 A35:A38 K34 H34">
    <cfRule type="cellIs" dxfId="19" priority="21" stopIfTrue="1" operator="equal">
      <formula>1</formula>
    </cfRule>
  </conditionalFormatting>
  <conditionalFormatting sqref="A5">
    <cfRule type="cellIs" dxfId="18" priority="20" stopIfTrue="1" operator="equal">
      <formula>1</formula>
    </cfRule>
  </conditionalFormatting>
  <conditionalFormatting sqref="G5">
    <cfRule type="cellIs" dxfId="17" priority="19" stopIfTrue="1" operator="equal">
      <formula>1</formula>
    </cfRule>
  </conditionalFormatting>
  <conditionalFormatting sqref="B11:F13 I11:L12">
    <cfRule type="expression" dxfId="16" priority="18">
      <formula>$AC$10</formula>
    </cfRule>
  </conditionalFormatting>
  <conditionalFormatting sqref="O11:Y17">
    <cfRule type="expression" dxfId="15" priority="17">
      <formula>$AE$10</formula>
    </cfRule>
  </conditionalFormatting>
  <conditionalFormatting sqref="B16:L20">
    <cfRule type="expression" dxfId="14" priority="16">
      <formula>$AC$15</formula>
    </cfRule>
  </conditionalFormatting>
  <conditionalFormatting sqref="O21:Y24 O20:U20 W20:Y20">
    <cfRule type="expression" dxfId="13" priority="15">
      <formula>$AC$19</formula>
    </cfRule>
  </conditionalFormatting>
  <conditionalFormatting sqref="O27:R28">
    <cfRule type="expression" dxfId="12" priority="13">
      <formula>$AC$26</formula>
    </cfRule>
  </conditionalFormatting>
  <conditionalFormatting sqref="B29:M32">
    <cfRule type="expression" dxfId="11" priority="12">
      <formula>$AC$28</formula>
    </cfRule>
  </conditionalFormatting>
  <conditionalFormatting sqref="O31:Z34">
    <cfRule type="expression" dxfId="10" priority="11">
      <formula>$AC$30</formula>
    </cfRule>
  </conditionalFormatting>
  <conditionalFormatting sqref="B35:M38">
    <cfRule type="expression" dxfId="9" priority="10">
      <formula>$AC$34</formula>
    </cfRule>
  </conditionalFormatting>
  <conditionalFormatting sqref="O37:Y38 O40:Y43">
    <cfRule type="expression" dxfId="8" priority="9">
      <formula>$AC$36</formula>
    </cfRule>
  </conditionalFormatting>
  <conditionalFormatting sqref="B41:L42 B44:L44 B43:E43 M43">
    <cfRule type="expression" dxfId="7" priority="8">
      <formula>$AC$40</formula>
    </cfRule>
  </conditionalFormatting>
  <conditionalFormatting sqref="B11:F11">
    <cfRule type="expression" dxfId="6" priority="7">
      <formula>$AK$10</formula>
    </cfRule>
  </conditionalFormatting>
  <conditionalFormatting sqref="B12:F12">
    <cfRule type="expression" dxfId="5" priority="6">
      <formula>$AK$12</formula>
    </cfRule>
  </conditionalFormatting>
  <conditionalFormatting sqref="B13:F13">
    <cfRule type="expression" dxfId="4" priority="5">
      <formula>$AK$13</formula>
    </cfRule>
  </conditionalFormatting>
  <conditionalFormatting sqref="I11:L11">
    <cfRule type="expression" dxfId="3" priority="4">
      <formula>$AM$10</formula>
    </cfRule>
  </conditionalFormatting>
  <conditionalFormatting sqref="I12:L12">
    <cfRule type="expression" dxfId="2" priority="3">
      <formula>$AM$11</formula>
    </cfRule>
  </conditionalFormatting>
  <conditionalFormatting sqref="I25:L25">
    <cfRule type="expression" dxfId="1" priority="2">
      <formula>$AC$10</formula>
    </cfRule>
  </conditionalFormatting>
  <conditionalFormatting sqref="I25:L25">
    <cfRule type="expression" dxfId="0" priority="1">
      <formula>$AM$11</formula>
    </cfRule>
  </conditionalFormatting>
  <dataValidations disablePrompts="1" count="4">
    <dataValidation type="list" allowBlank="1" showInputMessage="1" showErrorMessage="1" sqref="R3:Y3" xr:uid="{1C188C95-A477-4054-9EBF-16DFF9F00C04}">
      <formula1>$AG$15:$AG$19</formula1>
    </dataValidation>
    <dataValidation type="list" allowBlank="1" showInputMessage="1" showErrorMessage="1" promptTitle="Decking" prompt="Shaun_x000a_Des_x000a_BJ" sqref="S40" xr:uid="{D62026A5-4511-4232-9AF0-B300948317FE}">
      <formula1>$S$40</formula1>
    </dataValidation>
    <dataValidation type="time" allowBlank="1" showInputMessage="1" showErrorMessage="1" sqref="X40" xr:uid="{ED52508B-134D-465F-B854-8142754C6F0A}">
      <formula1>0.333333333333333</formula1>
      <formula2>0.958333333333333</formula2>
    </dataValidation>
    <dataValidation type="list" allowBlank="1" showInputMessage="1" showErrorMessage="1" sqref="E4:K4" xr:uid="{0B25EA29-21EE-4DF3-B37F-D23C53DDD768}">
      <formula1>$AO$10:$AO$14</formula1>
    </dataValidation>
  </dataValidations>
  <hyperlinks>
    <hyperlink ref="E7" r:id="rId1" xr:uid="{B585A22B-3EA5-455A-83C7-1F47C11121C9}"/>
    <hyperlink ref="F61" r:id="rId2" xr:uid="{045BC225-5150-4127-8811-95D3AB7B604A}"/>
    <hyperlink ref="F62" r:id="rId3" xr:uid="{4CE68CE3-3842-4315-B513-EDA5E08F8190}"/>
    <hyperlink ref="F63" r:id="rId4" xr:uid="{A3A4A126-8421-4CD1-A162-77F0A2126308}"/>
    <hyperlink ref="F66" r:id="rId5" xr:uid="{61FB8997-8017-42DE-BA39-7FCAC03E7C08}"/>
    <hyperlink ref="F67" r:id="rId6" xr:uid="{C05AE4B7-B174-432D-8790-DFE079DAF532}"/>
    <hyperlink ref="F76" r:id="rId7" xr:uid="{56C22738-612B-466D-947E-3A931DE7AA97}"/>
    <hyperlink ref="F73" r:id="rId8" xr:uid="{F05156E2-B58B-4CAB-A3DD-F33FCC91D97B}"/>
    <hyperlink ref="F80" r:id="rId9" xr:uid="{999C28E5-2D74-4C08-9E45-5BABDF94BE8D}"/>
    <hyperlink ref="F79" r:id="rId10" xr:uid="{5B2B35E0-18C7-4AD3-BCF7-99CBDC8E9349}"/>
    <hyperlink ref="F81" r:id="rId11" xr:uid="{72CE86C7-BECD-4D22-AE9A-D5309780656A}"/>
    <hyperlink ref="F82" r:id="rId12" xr:uid="{1576BC1A-BB44-4E1C-BC8B-703CE3D010FB}"/>
    <hyperlink ref="F84" r:id="rId13" xr:uid="{2A585D7A-BA5E-41AA-A3FB-C220AF3DD869}"/>
    <hyperlink ref="F85" r:id="rId14" xr:uid="{2FEB3D33-27A9-46C6-AC6A-E529EC002F80}"/>
    <hyperlink ref="F89" r:id="rId15" xr:uid="{61C590DF-890B-4457-92D8-00629F97C77A}"/>
    <hyperlink ref="F92" r:id="rId16" xr:uid="{C738164A-4068-4037-8005-CBDE49E0A10F}"/>
    <hyperlink ref="F93" r:id="rId17" xr:uid="{C241FD85-D86F-423E-BF8D-4AD06C5AD02F}"/>
    <hyperlink ref="F94" r:id="rId18" xr:uid="{F2CC1F19-49BD-4EDD-ABED-7DB26D4E3DBA}"/>
  </hyperlinks>
  <printOptions horizontalCentered="1" verticalCentered="1"/>
  <pageMargins left="0.19685039370078741" right="0.19685039370078741" top="0.19685039370078741" bottom="0.19685039370078741" header="0" footer="0"/>
  <pageSetup paperSize="9" fitToHeight="0" orientation="portrait" r:id="rId19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22" name="Check Box 4">
              <controlPr defaultSize="0" autoFill="0" autoLine="0" autoPict="0" altText="">
                <anchor moveWithCells="1">
                  <from>
                    <xdr:col>0</xdr:col>
                    <xdr:colOff>9525</xdr:colOff>
                    <xdr:row>10</xdr:row>
                    <xdr:rowOff>0</xdr:rowOff>
                  </from>
                  <to>
                    <xdr:col>1</xdr:col>
                    <xdr:colOff>66675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3" name="Check Box 5">
              <controlPr defaultSize="0" autoFill="0" autoLine="0" autoPict="0" altText="">
                <anchor moveWithCells="1">
                  <from>
                    <xdr:col>0</xdr:col>
                    <xdr:colOff>9525</xdr:colOff>
                    <xdr:row>10</xdr:row>
                    <xdr:rowOff>171450</xdr:rowOff>
                  </from>
                  <to>
                    <xdr:col>1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4" name="Check Box 6">
              <controlPr defaultSize="0" autoFill="0" autoLine="0" autoPict="0" altText="">
                <anchor moveWithCells="1">
                  <from>
                    <xdr:col>0</xdr:col>
                    <xdr:colOff>9525</xdr:colOff>
                    <xdr:row>11</xdr:row>
                    <xdr:rowOff>171450</xdr:rowOff>
                  </from>
                  <to>
                    <xdr:col>1</xdr:col>
                    <xdr:colOff>66675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25" name="Check Box 7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9</xdr:row>
                    <xdr:rowOff>180975</xdr:rowOff>
                  </from>
                  <to>
                    <xdr:col>8</xdr:col>
                    <xdr:colOff>57150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6" name="Check Box 8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10</xdr:row>
                    <xdr:rowOff>171450</xdr:rowOff>
                  </from>
                  <to>
                    <xdr:col>8</xdr:col>
                    <xdr:colOff>57150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7" name="Check Box 9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11</xdr:row>
                    <xdr:rowOff>171450</xdr:rowOff>
                  </from>
                  <to>
                    <xdr:col>8</xdr:col>
                    <xdr:colOff>57150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8" name="Check Box 10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9</xdr:row>
                    <xdr:rowOff>180975</xdr:rowOff>
                  </from>
                  <to>
                    <xdr:col>14</xdr:col>
                    <xdr:colOff>66675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9" name="Check Box 11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10</xdr:row>
                    <xdr:rowOff>171450</xdr:rowOff>
                  </from>
                  <to>
                    <xdr:col>14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0" name="Check Box 12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11</xdr:row>
                    <xdr:rowOff>171450</xdr:rowOff>
                  </from>
                  <to>
                    <xdr:col>14</xdr:col>
                    <xdr:colOff>66675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1" name="Check Box 13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12</xdr:row>
                    <xdr:rowOff>171450</xdr:rowOff>
                  </from>
                  <to>
                    <xdr:col>14</xdr:col>
                    <xdr:colOff>66675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2" name="Check Box 14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13</xdr:row>
                    <xdr:rowOff>171450</xdr:rowOff>
                  </from>
                  <to>
                    <xdr:col>14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33" name="Check Box 15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14</xdr:row>
                    <xdr:rowOff>171450</xdr:rowOff>
                  </from>
                  <to>
                    <xdr:col>14</xdr:col>
                    <xdr:colOff>66675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4" name="Check Box 16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14</xdr:row>
                    <xdr:rowOff>180975</xdr:rowOff>
                  </from>
                  <to>
                    <xdr:col>1</xdr:col>
                    <xdr:colOff>76200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35" name="Check Box 17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15</xdr:row>
                    <xdr:rowOff>161925</xdr:rowOff>
                  </from>
                  <to>
                    <xdr:col>1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6" name="Check Box 18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16</xdr:row>
                    <xdr:rowOff>161925</xdr:rowOff>
                  </from>
                  <to>
                    <xdr:col>1</xdr:col>
                    <xdr:colOff>76200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7" name="Check Box 19">
              <controlPr defaultSize="0" autoFill="0" autoLine="0" autoPict="0" altText="">
                <anchor moveWithCells="1">
                  <from>
                    <xdr:col>13</xdr:col>
                    <xdr:colOff>28575</xdr:colOff>
                    <xdr:row>18</xdr:row>
                    <xdr:rowOff>171450</xdr:rowOff>
                  </from>
                  <to>
                    <xdr:col>14</xdr:col>
                    <xdr:colOff>85725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38" name="Check Box 20">
              <controlPr defaultSize="0" autoFill="0" autoLine="0" autoPict="0" altText="">
                <anchor moveWithCells="1">
                  <from>
                    <xdr:col>13</xdr:col>
                    <xdr:colOff>28575</xdr:colOff>
                    <xdr:row>19</xdr:row>
                    <xdr:rowOff>171450</xdr:rowOff>
                  </from>
                  <to>
                    <xdr:col>14</xdr:col>
                    <xdr:colOff>85725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9" name="Check Box 21">
              <controlPr defaultSize="0" autoFill="0" autoLine="0" autoPict="0" altText="">
                <anchor moveWithCells="1">
                  <from>
                    <xdr:col>13</xdr:col>
                    <xdr:colOff>28575</xdr:colOff>
                    <xdr:row>20</xdr:row>
                    <xdr:rowOff>171450</xdr:rowOff>
                  </from>
                  <to>
                    <xdr:col>14</xdr:col>
                    <xdr:colOff>85725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0" name="Check Box 22">
              <controlPr defaultSize="0" autoFill="0" autoLine="0" autoPict="0" altText="">
                <anchor moveWithCells="1">
                  <from>
                    <xdr:col>19</xdr:col>
                    <xdr:colOff>19050</xdr:colOff>
                    <xdr:row>18</xdr:row>
                    <xdr:rowOff>171450</xdr:rowOff>
                  </from>
                  <to>
                    <xdr:col>20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1" name="Check Box 23">
              <controlPr defaultSize="0" autoFill="0" autoLine="0" autoPict="0" altText="">
                <anchor moveWithCells="1">
                  <from>
                    <xdr:col>19</xdr:col>
                    <xdr:colOff>19050</xdr:colOff>
                    <xdr:row>19</xdr:row>
                    <xdr:rowOff>171450</xdr:rowOff>
                  </from>
                  <to>
                    <xdr:col>20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2" name="Check Box 24">
              <controlPr defaultSize="0" autoFill="0" autoLine="0" autoPict="0" altText="">
                <anchor moveWithCells="1">
                  <from>
                    <xdr:col>19</xdr:col>
                    <xdr:colOff>19050</xdr:colOff>
                    <xdr:row>20</xdr:row>
                    <xdr:rowOff>171450</xdr:rowOff>
                  </from>
                  <to>
                    <xdr:col>20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3" name="Check Box 25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29</xdr:row>
                    <xdr:rowOff>171450</xdr:rowOff>
                  </from>
                  <to>
                    <xdr:col>22</xdr:col>
                    <xdr:colOff>76200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4" name="Check Box 26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30</xdr:row>
                    <xdr:rowOff>171450</xdr:rowOff>
                  </from>
                  <to>
                    <xdr:col>22</xdr:col>
                    <xdr:colOff>76200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5" name="Check Box 27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31</xdr:row>
                    <xdr:rowOff>171450</xdr:rowOff>
                  </from>
                  <to>
                    <xdr:col>22</xdr:col>
                    <xdr:colOff>76200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6" name="Check Box 28">
              <controlPr defaultSize="0" autoFill="0" autoLine="0" autoPict="0" altText="">
                <anchor moveWithCells="1">
                  <from>
                    <xdr:col>13</xdr:col>
                    <xdr:colOff>19050</xdr:colOff>
                    <xdr:row>29</xdr:row>
                    <xdr:rowOff>171450</xdr:rowOff>
                  </from>
                  <to>
                    <xdr:col>14</xdr:col>
                    <xdr:colOff>76200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47" name="Check Box 29">
              <controlPr defaultSize="0" autoFill="0" autoLine="0" autoPict="0" altText="">
                <anchor moveWithCells="1">
                  <from>
                    <xdr:col>13</xdr:col>
                    <xdr:colOff>19050</xdr:colOff>
                    <xdr:row>30</xdr:row>
                    <xdr:rowOff>171450</xdr:rowOff>
                  </from>
                  <to>
                    <xdr:col>14</xdr:col>
                    <xdr:colOff>76200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8" name="Check Box 30">
              <controlPr defaultSize="0" autoFill="0" autoLine="0" autoPict="0" altText="">
                <anchor moveWithCells="1">
                  <from>
                    <xdr:col>13</xdr:col>
                    <xdr:colOff>19050</xdr:colOff>
                    <xdr:row>31</xdr:row>
                    <xdr:rowOff>171450</xdr:rowOff>
                  </from>
                  <to>
                    <xdr:col>14</xdr:col>
                    <xdr:colOff>76200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49" name="Check Box 31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27</xdr:row>
                    <xdr:rowOff>171450</xdr:rowOff>
                  </from>
                  <to>
                    <xdr:col>1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0" name="Check Box 32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28</xdr:row>
                    <xdr:rowOff>180975</xdr:rowOff>
                  </from>
                  <to>
                    <xdr:col>1</xdr:col>
                    <xdr:colOff>76200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1" name="Check Box 33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29</xdr:row>
                    <xdr:rowOff>180975</xdr:rowOff>
                  </from>
                  <to>
                    <xdr:col>1</xdr:col>
                    <xdr:colOff>76200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2" name="Check Box 34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21</xdr:row>
                    <xdr:rowOff>180975</xdr:rowOff>
                  </from>
                  <to>
                    <xdr:col>1</xdr:col>
                    <xdr:colOff>76200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3" name="Check Box 35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22</xdr:row>
                    <xdr:rowOff>161925</xdr:rowOff>
                  </from>
                  <to>
                    <xdr:col>1</xdr:col>
                    <xdr:colOff>76200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4" name="Check Box 36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23</xdr:row>
                    <xdr:rowOff>161925</xdr:rowOff>
                  </from>
                  <to>
                    <xdr:col>1</xdr:col>
                    <xdr:colOff>76200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5" name="Check Box 3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180975</xdr:rowOff>
                  </from>
                  <to>
                    <xdr:col>5</xdr:col>
                    <xdr:colOff>76200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6" name="Check Box 3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171450</xdr:rowOff>
                  </from>
                  <to>
                    <xdr:col>5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7" name="Check Box 3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171450</xdr:rowOff>
                  </from>
                  <to>
                    <xdr:col>5</xdr:col>
                    <xdr:colOff>76200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8" name="Check Box 40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22</xdr:row>
                    <xdr:rowOff>180975</xdr:rowOff>
                  </from>
                  <to>
                    <xdr:col>8</xdr:col>
                    <xdr:colOff>57150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59" name="Check Box 41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23</xdr:row>
                    <xdr:rowOff>171450</xdr:rowOff>
                  </from>
                  <to>
                    <xdr:col>8</xdr:col>
                    <xdr:colOff>57150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0" name="Check Box 42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24</xdr:row>
                    <xdr:rowOff>161925</xdr:rowOff>
                  </from>
                  <to>
                    <xdr:col>8</xdr:col>
                    <xdr:colOff>57150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1" name="Check Box 43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33</xdr:row>
                    <xdr:rowOff>180975</xdr:rowOff>
                  </from>
                  <to>
                    <xdr:col>1</xdr:col>
                    <xdr:colOff>76200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2" name="Check Box 44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34</xdr:row>
                    <xdr:rowOff>161925</xdr:rowOff>
                  </from>
                  <to>
                    <xdr:col>1</xdr:col>
                    <xdr:colOff>76200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3" name="Check Box 45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35</xdr:row>
                    <xdr:rowOff>161925</xdr:rowOff>
                  </from>
                  <to>
                    <xdr:col>1</xdr:col>
                    <xdr:colOff>76200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4" name="Check Box 46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39</xdr:row>
                    <xdr:rowOff>171450</xdr:rowOff>
                  </from>
                  <to>
                    <xdr:col>1</xdr:col>
                    <xdr:colOff>57150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5" name="Check Box 47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40</xdr:row>
                    <xdr:rowOff>171450</xdr:rowOff>
                  </from>
                  <to>
                    <xdr:col>1</xdr:col>
                    <xdr:colOff>57150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66" name="Check Box 48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41</xdr:row>
                    <xdr:rowOff>171450</xdr:rowOff>
                  </from>
                  <to>
                    <xdr:col>1</xdr:col>
                    <xdr:colOff>57150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67" name="Check Box 4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171450</xdr:rowOff>
                  </from>
                  <to>
                    <xdr:col>7</xdr:col>
                    <xdr:colOff>76200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8" name="Check Box 5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171450</xdr:rowOff>
                  </from>
                  <to>
                    <xdr:col>7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69" name="Check Box 5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171450</xdr:rowOff>
                  </from>
                  <to>
                    <xdr:col>7</xdr:col>
                    <xdr:colOff>76200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70" name="Check Box 52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35</xdr:row>
                    <xdr:rowOff>180975</xdr:rowOff>
                  </from>
                  <to>
                    <xdr:col>14</xdr:col>
                    <xdr:colOff>66675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1" name="Check Box 53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36</xdr:row>
                    <xdr:rowOff>171450</xdr:rowOff>
                  </from>
                  <to>
                    <xdr:col>14</xdr:col>
                    <xdr:colOff>66675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72" name="Check Box 54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37</xdr:row>
                    <xdr:rowOff>171450</xdr:rowOff>
                  </from>
                  <to>
                    <xdr:col>14</xdr:col>
                    <xdr:colOff>66675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73" name="Check Box 55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39</xdr:row>
                    <xdr:rowOff>171450</xdr:rowOff>
                  </from>
                  <to>
                    <xdr:col>14</xdr:col>
                    <xdr:colOff>66675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74" name="Check Box 56">
              <controlPr defaultSize="0" autoFill="0" autoLine="0" autoPict="0" altText="">
                <anchor moveWithCells="1">
                  <from>
                    <xdr:col>13</xdr:col>
                    <xdr:colOff>19050</xdr:colOff>
                    <xdr:row>40</xdr:row>
                    <xdr:rowOff>161925</xdr:rowOff>
                  </from>
                  <to>
                    <xdr:col>14</xdr:col>
                    <xdr:colOff>76200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75" name="Check Box 57">
              <controlPr defaultSize="0" autoFill="0" autoLine="0" autoPict="0" altText="">
                <anchor moveWithCells="1">
                  <from>
                    <xdr:col>13</xdr:col>
                    <xdr:colOff>19050</xdr:colOff>
                    <xdr:row>41</xdr:row>
                    <xdr:rowOff>171450</xdr:rowOff>
                  </from>
                  <to>
                    <xdr:col>14</xdr:col>
                    <xdr:colOff>76200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76" name="Check Box 58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25</xdr:row>
                    <xdr:rowOff>171450</xdr:rowOff>
                  </from>
                  <to>
                    <xdr:col>14</xdr:col>
                    <xdr:colOff>66675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77" name="Check Box 59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26</xdr:row>
                    <xdr:rowOff>171450</xdr:rowOff>
                  </from>
                  <to>
                    <xdr:col>14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78" name="Check Box 60">
              <controlPr defaultSize="0" autoFill="0" autoLine="0" autoPict="0" altText="">
                <anchor moveWithCells="1">
                  <from>
                    <xdr:col>0</xdr:col>
                    <xdr:colOff>9525</xdr:colOff>
                    <xdr:row>17</xdr:row>
                    <xdr:rowOff>171450</xdr:rowOff>
                  </from>
                  <to>
                    <xdr:col>1</xdr:col>
                    <xdr:colOff>66675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79" name="Check Box 61">
              <controlPr defaultSize="0" autoFill="0" autoLine="0" autoPict="0" altText="">
                <anchor moveWithCells="1"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1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80" name="Check Box 62">
              <controlPr defaultSize="0" autoFill="0" autoLine="0" autoPict="0" altText="">
                <anchor moveWithCells="1">
                  <from>
                    <xdr:col>5</xdr:col>
                    <xdr:colOff>9525</xdr:colOff>
                    <xdr:row>8</xdr:row>
                    <xdr:rowOff>171450</xdr:rowOff>
                  </from>
                  <to>
                    <xdr:col>6</xdr:col>
                    <xdr:colOff>66675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1" name="Check Box 63">
              <controlPr defaultSize="0" autoFill="0" autoLine="0" autoPict="0" altText="">
                <anchor moveWithCells="1">
                  <from>
                    <xdr:col>8</xdr:col>
                    <xdr:colOff>9525</xdr:colOff>
                    <xdr:row>8</xdr:row>
                    <xdr:rowOff>171450</xdr:rowOff>
                  </from>
                  <to>
                    <xdr:col>9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82" name="Check Box 64">
              <controlPr defaultSize="0" autoFill="0" autoLine="0" autoPict="0" altText="">
                <anchor moveWithCells="1">
                  <from>
                    <xdr:col>20</xdr:col>
                    <xdr:colOff>9525</xdr:colOff>
                    <xdr:row>8</xdr:row>
                    <xdr:rowOff>171450</xdr:rowOff>
                  </from>
                  <to>
                    <xdr:col>21</xdr:col>
                    <xdr:colOff>66675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83" name="Check Box 65">
              <controlPr defaultSize="0" autoFill="0" autoLine="0" autoPict="0" altText="">
                <anchor moveWithCells="1">
                  <from>
                    <xdr:col>23</xdr:col>
                    <xdr:colOff>19050</xdr:colOff>
                    <xdr:row>8</xdr:row>
                    <xdr:rowOff>171450</xdr:rowOff>
                  </from>
                  <to>
                    <xdr:col>24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84" name="Check Box 66">
              <controlPr defaultSize="0" autoFill="0" autoLine="0" autoPict="0" altText="">
                <anchor moveWithCells="1">
                  <from>
                    <xdr:col>20</xdr:col>
                    <xdr:colOff>9525</xdr:colOff>
                    <xdr:row>17</xdr:row>
                    <xdr:rowOff>152400</xdr:rowOff>
                  </from>
                  <to>
                    <xdr:col>21</xdr:col>
                    <xdr:colOff>66675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5" name="Check Box 67">
              <controlPr defaultSize="0" autoFill="0" autoLine="0" autoPict="0" altText="">
                <anchor moveWithCells="1">
                  <from>
                    <xdr:col>23</xdr:col>
                    <xdr:colOff>9525</xdr:colOff>
                    <xdr:row>17</xdr:row>
                    <xdr:rowOff>171450</xdr:rowOff>
                  </from>
                  <to>
                    <xdr:col>24</xdr:col>
                    <xdr:colOff>66675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6" name="Check Box 68">
              <controlPr defaultSize="0" autoFill="0" autoLine="0" autoPict="0" altText="">
                <anchor moveWithCells="1">
                  <from>
                    <xdr:col>20</xdr:col>
                    <xdr:colOff>19050</xdr:colOff>
                    <xdr:row>24</xdr:row>
                    <xdr:rowOff>161925</xdr:rowOff>
                  </from>
                  <to>
                    <xdr:col>21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7" name="Check Box 69">
              <controlPr defaultSize="0" autoFill="0" autoLine="0" autoPict="0" altText="">
                <anchor moveWithCells="1">
                  <from>
                    <xdr:col>23</xdr:col>
                    <xdr:colOff>9525</xdr:colOff>
                    <xdr:row>24</xdr:row>
                    <xdr:rowOff>171450</xdr:rowOff>
                  </from>
                  <to>
                    <xdr:col>24</xdr:col>
                    <xdr:colOff>66675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88" name="Check Box 70">
              <controlPr defaultSize="0" autoFill="0" autoLine="0" autoPict="0" altText="">
                <anchor moveWithCells="1">
                  <from>
                    <xdr:col>7</xdr:col>
                    <xdr:colOff>266700</xdr:colOff>
                    <xdr:row>20</xdr:row>
                    <xdr:rowOff>180975</xdr:rowOff>
                  </from>
                  <to>
                    <xdr:col>9</xdr:col>
                    <xdr:colOff>66675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89" name="Check Box 71">
              <controlPr defaultSize="0" autoFill="0" autoLine="0" autoPict="0" altText="">
                <anchor moveWithCells="1">
                  <from>
                    <xdr:col>5</xdr:col>
                    <xdr:colOff>28575</xdr:colOff>
                    <xdr:row>20</xdr:row>
                    <xdr:rowOff>161925</xdr:rowOff>
                  </from>
                  <to>
                    <xdr:col>6</xdr:col>
                    <xdr:colOff>85725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90" name="Check Box 72">
              <controlPr defaultSize="0" autoFill="0" autoLine="0" autoPict="0" altText="">
                <anchor moveWithCells="1">
                  <from>
                    <xdr:col>8</xdr:col>
                    <xdr:colOff>0</xdr:colOff>
                    <xdr:row>13</xdr:row>
                    <xdr:rowOff>180975</xdr:rowOff>
                  </from>
                  <to>
                    <xdr:col>9</xdr:col>
                    <xdr:colOff>76200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91" name="Check Box 73">
              <controlPr defaultSize="0" autoFill="0" autoLine="0" autoPict="0" altText="">
                <anchor moveWithCells="1">
                  <from>
                    <xdr:col>5</xdr:col>
                    <xdr:colOff>28575</xdr:colOff>
                    <xdr:row>13</xdr:row>
                    <xdr:rowOff>171450</xdr:rowOff>
                  </from>
                  <to>
                    <xdr:col>6</xdr:col>
                    <xdr:colOff>85725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92" name="Check Box 74">
              <controlPr defaultSize="0" autoFill="0" autoLine="0" autoPict="0" altText="">
                <anchor moveWithCells="1">
                  <from>
                    <xdr:col>13</xdr:col>
                    <xdr:colOff>28575</xdr:colOff>
                    <xdr:row>21</xdr:row>
                    <xdr:rowOff>171450</xdr:rowOff>
                  </from>
                  <to>
                    <xdr:col>14</xdr:col>
                    <xdr:colOff>85725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3" name="Check Box 75">
              <controlPr defaultSize="0" autoFill="0" autoLine="0" autoPict="0" altText="">
                <anchor moveWithCells="1">
                  <from>
                    <xdr:col>13</xdr:col>
                    <xdr:colOff>28575</xdr:colOff>
                    <xdr:row>22</xdr:row>
                    <xdr:rowOff>171450</xdr:rowOff>
                  </from>
                  <to>
                    <xdr:col>14</xdr:col>
                    <xdr:colOff>85725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94" name="Check Box 76">
              <controlPr defaultSize="0" autoFill="0" autoLine="0" autoPict="0" altText="">
                <anchor moveWithCells="1">
                  <from>
                    <xdr:col>19</xdr:col>
                    <xdr:colOff>9525</xdr:colOff>
                    <xdr:row>21</xdr:row>
                    <xdr:rowOff>171450</xdr:rowOff>
                  </from>
                  <to>
                    <xdr:col>20</xdr:col>
                    <xdr:colOff>66675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95" name="Check Box 77">
              <controlPr defaultSize="0" autoFill="0" autoLine="0" autoPict="0" altText="">
                <anchor moveWithCells="1">
                  <from>
                    <xdr:col>17</xdr:col>
                    <xdr:colOff>9525</xdr:colOff>
                    <xdr:row>29</xdr:row>
                    <xdr:rowOff>171450</xdr:rowOff>
                  </from>
                  <to>
                    <xdr:col>18</xdr:col>
                    <xdr:colOff>66675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96" name="Check Box 78">
              <controlPr defaultSize="0" autoFill="0" autoLine="0" autoPict="0" altText="">
                <anchor moveWithCells="1">
                  <from>
                    <xdr:col>13</xdr:col>
                    <xdr:colOff>19050</xdr:colOff>
                    <xdr:row>32</xdr:row>
                    <xdr:rowOff>171450</xdr:rowOff>
                  </from>
                  <to>
                    <xdr:col>14</xdr:col>
                    <xdr:colOff>76200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97" name="Check Box 79">
              <controlPr defaultSize="0" autoFill="0" autoLine="0" autoPict="0" altText="">
                <anchor moveWithCells="1">
                  <from>
                    <xdr:col>20</xdr:col>
                    <xdr:colOff>19050</xdr:colOff>
                    <xdr:row>28</xdr:row>
                    <xdr:rowOff>171450</xdr:rowOff>
                  </from>
                  <to>
                    <xdr:col>21</xdr:col>
                    <xdr:colOff>76200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98" name="Check Box 80">
              <controlPr defaultSize="0" autoFill="0" autoLine="0" autoPict="0" altText="">
                <anchor moveWithCells="1">
                  <from>
                    <xdr:col>23</xdr:col>
                    <xdr:colOff>19050</xdr:colOff>
                    <xdr:row>28</xdr:row>
                    <xdr:rowOff>171450</xdr:rowOff>
                  </from>
                  <to>
                    <xdr:col>24</xdr:col>
                    <xdr:colOff>76200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99" name="Check Box 81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28</xdr:row>
                    <xdr:rowOff>171450</xdr:rowOff>
                  </from>
                  <to>
                    <xdr:col>8</xdr:col>
                    <xdr:colOff>57150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00" name="Check Box 82">
              <controlPr defaultSize="0" autoFill="0" autoLine="0" autoPict="0" altText="">
                <anchor moveWithCells="1">
                  <from>
                    <xdr:col>7</xdr:col>
                    <xdr:colOff>38100</xdr:colOff>
                    <xdr:row>32</xdr:row>
                    <xdr:rowOff>171450</xdr:rowOff>
                  </from>
                  <to>
                    <xdr:col>8</xdr:col>
                    <xdr:colOff>66675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01" name="Check Box 83">
              <controlPr defaultSize="0" autoFill="0" autoLine="0" autoPict="0" altText="">
                <anchor moveWithCells="1">
                  <from>
                    <xdr:col>10</xdr:col>
                    <xdr:colOff>9525</xdr:colOff>
                    <xdr:row>32</xdr:row>
                    <xdr:rowOff>161925</xdr:rowOff>
                  </from>
                  <to>
                    <xdr:col>10</xdr:col>
                    <xdr:colOff>247650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02" name="Check Box 84">
              <controlPr defaultSize="0" autoFill="0" autoLine="0" autoPict="0" altText="">
                <anchor moveWithCells="1">
                  <from>
                    <xdr:col>10</xdr:col>
                    <xdr:colOff>28575</xdr:colOff>
                    <xdr:row>37</xdr:row>
                    <xdr:rowOff>180975</xdr:rowOff>
                  </from>
                  <to>
                    <xdr:col>11</xdr:col>
                    <xdr:colOff>85725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03" name="Check Box 85">
              <controlPr defaultSize="0" autoFill="0" autoLine="0" autoPict="0" altText="">
                <anchor moveWithCells="1">
                  <from>
                    <xdr:col>7</xdr:col>
                    <xdr:colOff>28575</xdr:colOff>
                    <xdr:row>37</xdr:row>
                    <xdr:rowOff>180975</xdr:rowOff>
                  </from>
                  <to>
                    <xdr:col>8</xdr:col>
                    <xdr:colOff>57150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04" name="Check Box 86">
              <controlPr defaultSize="0" autoFill="0" autoLine="0" autoPict="0" altText="">
                <anchor moveWithCells="1">
                  <from>
                    <xdr:col>20</xdr:col>
                    <xdr:colOff>19050</xdr:colOff>
                    <xdr:row>34</xdr:row>
                    <xdr:rowOff>171450</xdr:rowOff>
                  </from>
                  <to>
                    <xdr:col>21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05" name="Check Box 87">
              <controlPr defaultSize="0" autoFill="0" autoLine="0" autoPict="0" altText="">
                <anchor moveWithCells="1">
                  <from>
                    <xdr:col>23</xdr:col>
                    <xdr:colOff>19050</xdr:colOff>
                    <xdr:row>34</xdr:row>
                    <xdr:rowOff>171450</xdr:rowOff>
                  </from>
                  <to>
                    <xdr:col>24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06" name="Check Box 89">
              <controlPr defaultSize="0" autoFill="0" autoLine="0" autoPict="0" altText="">
                <anchor moveWithCells="1">
                  <from>
                    <xdr:col>0</xdr:col>
                    <xdr:colOff>9525</xdr:colOff>
                    <xdr:row>36</xdr:row>
                    <xdr:rowOff>161925</xdr:rowOff>
                  </from>
                  <to>
                    <xdr:col>1</xdr:col>
                    <xdr:colOff>66675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07" name="Check Box 90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42</xdr:row>
                    <xdr:rowOff>180975</xdr:rowOff>
                  </from>
                  <to>
                    <xdr:col>1</xdr:col>
                    <xdr:colOff>57150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8" name="Check Box 91">
              <controlPr defaultSize="0" autoFill="0" autoLine="0" autoPict="0" altText="">
                <anchor moveWithCells="1">
                  <from>
                    <xdr:col>21</xdr:col>
                    <xdr:colOff>9525</xdr:colOff>
                    <xdr:row>32</xdr:row>
                    <xdr:rowOff>180975</xdr:rowOff>
                  </from>
                  <to>
                    <xdr:col>22</xdr:col>
                    <xdr:colOff>66675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09" name="Check Box 92">
              <controlPr defaultSize="0" autoFill="0" autoLine="0" autoPict="0" altText="">
                <anchor moveWithCells="1">
                  <from>
                    <xdr:col>7</xdr:col>
                    <xdr:colOff>257175</xdr:colOff>
                    <xdr:row>26</xdr:row>
                    <xdr:rowOff>171450</xdr:rowOff>
                  </from>
                  <to>
                    <xdr:col>9</xdr:col>
                    <xdr:colOff>57150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10" name="Check Box 9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171450</xdr:rowOff>
                  </from>
                  <to>
                    <xdr:col>6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11" name="Check Box 94">
              <controlPr defaultSize="0" autoFill="0" autoLine="0" autoPict="0" altText="">
                <anchor moveWithCells="1">
                  <from>
                    <xdr:col>0</xdr:col>
                    <xdr:colOff>9525</xdr:colOff>
                    <xdr:row>24</xdr:row>
                    <xdr:rowOff>171450</xdr:rowOff>
                  </from>
                  <to>
                    <xdr:col>1</xdr:col>
                    <xdr:colOff>66675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2" name="Check Box 95">
              <controlPr defaultSize="0" autoFill="0" autoLine="0" autoPict="0" altText="">
                <anchor moveWithCells="1">
                  <from>
                    <xdr:col>13</xdr:col>
                    <xdr:colOff>9525</xdr:colOff>
                    <xdr:row>15</xdr:row>
                    <xdr:rowOff>171450</xdr:rowOff>
                  </from>
                  <to>
                    <xdr:col>14</xdr:col>
                    <xdr:colOff>66675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113" name="Check Box 96">
              <controlPr defaultSize="0" autoFill="0" autoLine="0" autoPict="0" altText="">
                <anchor moveWithCells="1">
                  <from>
                    <xdr:col>0</xdr:col>
                    <xdr:colOff>19050</xdr:colOff>
                    <xdr:row>30</xdr:row>
                    <xdr:rowOff>171450</xdr:rowOff>
                  </from>
                  <to>
                    <xdr:col>1</xdr:col>
                    <xdr:colOff>76200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14" name="Check Box 9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</xdr:row>
                    <xdr:rowOff>171450</xdr:rowOff>
                  </from>
                  <to>
                    <xdr:col>7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15" name="Check Box 100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3</xdr:row>
                    <xdr:rowOff>142875</xdr:rowOff>
                  </from>
                  <to>
                    <xdr:col>1</xdr:col>
                    <xdr:colOff>57150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16" name="Check Box 101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60</xdr:row>
                    <xdr:rowOff>9525</xdr:rowOff>
                  </from>
                  <to>
                    <xdr:col>1</xdr:col>
                    <xdr:colOff>123825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17" name="Check Box 102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63</xdr:row>
                    <xdr:rowOff>9525</xdr:rowOff>
                  </from>
                  <to>
                    <xdr:col>1</xdr:col>
                    <xdr:colOff>123825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18" name="Check Box 105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66</xdr:row>
                    <xdr:rowOff>9525</xdr:rowOff>
                  </from>
                  <to>
                    <xdr:col>1</xdr:col>
                    <xdr:colOff>123825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19" name="Check Box 106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62</xdr:row>
                    <xdr:rowOff>9525</xdr:rowOff>
                  </from>
                  <to>
                    <xdr:col>1</xdr:col>
                    <xdr:colOff>123825</xdr:colOff>
                    <xdr:row>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20" name="Check Box 107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61</xdr:row>
                    <xdr:rowOff>9525</xdr:rowOff>
                  </from>
                  <to>
                    <xdr:col>1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1" name="Check Box 108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65</xdr:row>
                    <xdr:rowOff>28575</xdr:rowOff>
                  </from>
                  <to>
                    <xdr:col>1</xdr:col>
                    <xdr:colOff>123825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22" name="Check Box 109">
              <controlPr defaultSize="0" autoFill="0" autoLine="0" autoPict="0" altText="">
                <anchor moveWithCells="1">
                  <from>
                    <xdr:col>0</xdr:col>
                    <xdr:colOff>76200</xdr:colOff>
                    <xdr:row>72</xdr:row>
                    <xdr:rowOff>19050</xdr:rowOff>
                  </from>
                  <to>
                    <xdr:col>1</xdr:col>
                    <xdr:colOff>133350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23" name="Check Box 110">
              <controlPr defaultSize="0" autoFill="0" autoLine="0" autoPict="0" altText="">
                <anchor moveWithCells="1">
                  <from>
                    <xdr:col>0</xdr:col>
                    <xdr:colOff>76200</xdr:colOff>
                    <xdr:row>73</xdr:row>
                    <xdr:rowOff>0</xdr:rowOff>
                  </from>
                  <to>
                    <xdr:col>1</xdr:col>
                    <xdr:colOff>133350</xdr:colOff>
                    <xdr:row>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24" name="Check Box 113">
              <controlPr defaultSize="0" autoFill="0" autoLine="0" autoPict="0" altText="">
                <anchor moveWithCells="1">
                  <from>
                    <xdr:col>0</xdr:col>
                    <xdr:colOff>76200</xdr:colOff>
                    <xdr:row>75</xdr:row>
                    <xdr:rowOff>19050</xdr:rowOff>
                  </from>
                  <to>
                    <xdr:col>1</xdr:col>
                    <xdr:colOff>133350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25" name="Check Box 114">
              <controlPr defaultSize="0" autoFill="0" autoLine="0" autoPict="0" altText="">
                <anchor moveWithCells="1">
                  <from>
                    <xdr:col>0</xdr:col>
                    <xdr:colOff>76200</xdr:colOff>
                    <xdr:row>76</xdr:row>
                    <xdr:rowOff>19050</xdr:rowOff>
                  </from>
                  <to>
                    <xdr:col>1</xdr:col>
                    <xdr:colOff>133350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26" name="Check Box 115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69</xdr:row>
                    <xdr:rowOff>19050</xdr:rowOff>
                  </from>
                  <to>
                    <xdr:col>1</xdr:col>
                    <xdr:colOff>123825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7" name="Check Box 117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70</xdr:row>
                    <xdr:rowOff>19050</xdr:rowOff>
                  </from>
                  <to>
                    <xdr:col>1</xdr:col>
                    <xdr:colOff>123825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8" name="Check Box 118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67</xdr:row>
                    <xdr:rowOff>9525</xdr:rowOff>
                  </from>
                  <to>
                    <xdr:col>1</xdr:col>
                    <xdr:colOff>123825</xdr:colOff>
                    <xdr:row>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9" name="Check Box 119">
              <controlPr defaultSize="0" autoFill="0" autoLine="0" autoPict="0" altText="">
                <anchor moveWithCells="1">
                  <from>
                    <xdr:col>0</xdr:col>
                    <xdr:colOff>76200</xdr:colOff>
                    <xdr:row>80</xdr:row>
                    <xdr:rowOff>19050</xdr:rowOff>
                  </from>
                  <to>
                    <xdr:col>1</xdr:col>
                    <xdr:colOff>133350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30" name="Check Box 120">
              <controlPr defaultSize="0" autoFill="0" autoLine="0" autoPict="0" altText="">
                <anchor moveWithCells="1">
                  <from>
                    <xdr:col>0</xdr:col>
                    <xdr:colOff>76200</xdr:colOff>
                    <xdr:row>81</xdr:row>
                    <xdr:rowOff>19050</xdr:rowOff>
                  </from>
                  <to>
                    <xdr:col>1</xdr:col>
                    <xdr:colOff>133350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31" name="Check Box 121">
              <controlPr defaultSize="0" autoFill="0" autoLine="0" autoPict="0" altText="">
                <anchor moveWithCells="1">
                  <from>
                    <xdr:col>0</xdr:col>
                    <xdr:colOff>76200</xdr:colOff>
                    <xdr:row>79</xdr:row>
                    <xdr:rowOff>28575</xdr:rowOff>
                  </from>
                  <to>
                    <xdr:col>1</xdr:col>
                    <xdr:colOff>133350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32" name="Check Box 122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78</xdr:row>
                    <xdr:rowOff>19050</xdr:rowOff>
                  </from>
                  <to>
                    <xdr:col>1</xdr:col>
                    <xdr:colOff>123825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33" name="Check Box 123">
              <controlPr defaultSize="0" autoFill="0" autoLine="0" autoPict="0" altText="">
                <anchor moveWithCells="1">
                  <from>
                    <xdr:col>0</xdr:col>
                    <xdr:colOff>57150</xdr:colOff>
                    <xdr:row>83</xdr:row>
                    <xdr:rowOff>19050</xdr:rowOff>
                  </from>
                  <to>
                    <xdr:col>1</xdr:col>
                    <xdr:colOff>114300</xdr:colOff>
                    <xdr:row>84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34" name="Check Box 124">
              <controlPr defaultSize="0" autoFill="0" autoLine="0" autoPict="0" altText="">
                <anchor moveWithCells="1">
                  <from>
                    <xdr:col>0</xdr:col>
                    <xdr:colOff>57150</xdr:colOff>
                    <xdr:row>84</xdr:row>
                    <xdr:rowOff>28575</xdr:rowOff>
                  </from>
                  <to>
                    <xdr:col>1</xdr:col>
                    <xdr:colOff>114300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35" name="Check Box 125">
              <controlPr defaultSize="0" autoFill="0" autoLine="0" autoPict="0" altText="">
                <anchor moveWithCells="1">
                  <from>
                    <xdr:col>0</xdr:col>
                    <xdr:colOff>57150</xdr:colOff>
                    <xdr:row>85</xdr:row>
                    <xdr:rowOff>19050</xdr:rowOff>
                  </from>
                  <to>
                    <xdr:col>1</xdr:col>
                    <xdr:colOff>114300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36" name="Check Box 126">
              <controlPr defaultSize="0" autoFill="0" autoLine="0" autoPict="0" altText="">
                <anchor moveWithCells="1">
                  <from>
                    <xdr:col>0</xdr:col>
                    <xdr:colOff>47625</xdr:colOff>
                    <xdr:row>86</xdr:row>
                    <xdr:rowOff>9525</xdr:rowOff>
                  </from>
                  <to>
                    <xdr:col>1</xdr:col>
                    <xdr:colOff>104775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7" name="Check Box 127">
              <controlPr defaultSize="0" autoFill="0" autoLine="0" autoPict="0" altText="">
                <anchor moveWithCells="1">
                  <from>
                    <xdr:col>0</xdr:col>
                    <xdr:colOff>66675</xdr:colOff>
                    <xdr:row>88</xdr:row>
                    <xdr:rowOff>47625</xdr:rowOff>
                  </from>
                  <to>
                    <xdr:col>1</xdr:col>
                    <xdr:colOff>104775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8" name="Check Box 128">
              <controlPr defaultSize="0" autoFill="0" autoLine="0" autoPict="0" altText="">
                <anchor moveWithCells="1">
                  <from>
                    <xdr:col>0</xdr:col>
                    <xdr:colOff>57150</xdr:colOff>
                    <xdr:row>89</xdr:row>
                    <xdr:rowOff>47625</xdr:rowOff>
                  </from>
                  <to>
                    <xdr:col>1</xdr:col>
                    <xdr:colOff>104775</xdr:colOff>
                    <xdr:row>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9" name="Check Box 129">
              <controlPr defaultSize="0" autoFill="0" autoLine="0" autoPict="0" altText="">
                <anchor moveWithCells="1">
                  <from>
                    <xdr:col>0</xdr:col>
                    <xdr:colOff>57150</xdr:colOff>
                    <xdr:row>91</xdr:row>
                    <xdr:rowOff>47625</xdr:rowOff>
                  </from>
                  <to>
                    <xdr:col>1</xdr:col>
                    <xdr:colOff>104775</xdr:colOff>
                    <xdr:row>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40" name="Check Box 130">
              <controlPr defaultSize="0" autoFill="0" autoLine="0" autoPict="0" altText="">
                <anchor moveWithCells="1">
                  <from>
                    <xdr:col>0</xdr:col>
                    <xdr:colOff>57150</xdr:colOff>
                    <xdr:row>92</xdr:row>
                    <xdr:rowOff>38100</xdr:rowOff>
                  </from>
                  <to>
                    <xdr:col>1</xdr:col>
                    <xdr:colOff>104775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41" name="Check Box 131">
              <controlPr defaultSize="0" autoFill="0" autoLine="0" autoPict="0" altText="">
                <anchor moveWithCells="1">
                  <from>
                    <xdr:col>0</xdr:col>
                    <xdr:colOff>57150</xdr:colOff>
                    <xdr:row>93</xdr:row>
                    <xdr:rowOff>28575</xdr:rowOff>
                  </from>
                  <to>
                    <xdr:col>1</xdr:col>
                    <xdr:colOff>104775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42" name="Check Box 132">
              <controlPr defaultSize="0" autoFill="0" autoLine="0" autoPict="0" altText="">
                <anchor moveWithCells="1">
                  <from>
                    <xdr:col>0</xdr:col>
                    <xdr:colOff>47625</xdr:colOff>
                    <xdr:row>95</xdr:row>
                    <xdr:rowOff>38100</xdr:rowOff>
                  </from>
                  <to>
                    <xdr:col>1</xdr:col>
                    <xdr:colOff>95250</xdr:colOff>
                    <xdr:row>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3" name="Check Box 137">
              <controlPr defaultSize="0" autoFill="0" autoLine="0" autoPict="0" altText="">
                <anchor moveWithCells="1">
                  <from>
                    <xdr:col>9</xdr:col>
                    <xdr:colOff>238125</xdr:colOff>
                    <xdr:row>22</xdr:row>
                    <xdr:rowOff>171450</xdr:rowOff>
                  </from>
                  <to>
                    <xdr:col>11</xdr:col>
                    <xdr:colOff>47625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098E-E8D7-4F91-8E3F-183E41F34FFC}">
  <sheetPr>
    <tabColor rgb="FF00B050"/>
  </sheetPr>
  <dimension ref="B4:I36"/>
  <sheetViews>
    <sheetView topLeftCell="A10" workbookViewId="0">
      <selection activeCell="L39" sqref="L39"/>
    </sheetView>
  </sheetViews>
  <sheetFormatPr defaultRowHeight="15" x14ac:dyDescent="0.25"/>
  <cols>
    <col min="1" max="1" width="3.7109375" customWidth="1"/>
    <col min="2" max="2" width="4.140625" customWidth="1"/>
    <col min="3" max="3" width="41.140625" customWidth="1"/>
    <col min="4" max="4" width="29.42578125" bestFit="1" customWidth="1"/>
    <col min="5" max="5" width="6.85546875" customWidth="1"/>
    <col min="6" max="6" width="9.140625" hidden="1" customWidth="1"/>
    <col min="7" max="7" width="4.42578125" customWidth="1"/>
    <col min="8" max="8" width="4.28515625" customWidth="1"/>
  </cols>
  <sheetData>
    <row r="4" spans="2:9" ht="15.75" thickBot="1" x14ac:dyDescent="0.3"/>
    <row r="5" spans="2:9" x14ac:dyDescent="0.25">
      <c r="B5" s="3"/>
      <c r="C5" s="1"/>
      <c r="D5" s="1"/>
      <c r="E5" s="1"/>
      <c r="F5" s="1"/>
      <c r="G5" s="4"/>
    </row>
    <row r="6" spans="2:9" x14ac:dyDescent="0.25">
      <c r="B6" s="5"/>
      <c r="G6" s="6"/>
    </row>
    <row r="7" spans="2:9" x14ac:dyDescent="0.25">
      <c r="B7" s="5"/>
      <c r="G7" s="6"/>
    </row>
    <row r="8" spans="2:9" x14ac:dyDescent="0.25">
      <c r="B8" s="5"/>
      <c r="G8" s="6"/>
      <c r="I8" s="100" t="s">
        <v>399</v>
      </c>
    </row>
    <row r="9" spans="2:9" x14ac:dyDescent="0.25">
      <c r="B9" s="5"/>
      <c r="G9" s="6"/>
    </row>
    <row r="10" spans="2:9" x14ac:dyDescent="0.25">
      <c r="B10" s="5"/>
      <c r="G10" s="6"/>
    </row>
    <row r="11" spans="2:9" x14ac:dyDescent="0.25">
      <c r="B11" s="5"/>
      <c r="G11" s="6"/>
    </row>
    <row r="12" spans="2:9" x14ac:dyDescent="0.25">
      <c r="B12" s="5"/>
      <c r="G12" s="6"/>
    </row>
    <row r="13" spans="2:9" x14ac:dyDescent="0.25">
      <c r="B13" s="5"/>
      <c r="G13" s="6"/>
    </row>
    <row r="14" spans="2:9" x14ac:dyDescent="0.25">
      <c r="B14" s="5"/>
      <c r="G14" s="6"/>
    </row>
    <row r="15" spans="2:9" x14ac:dyDescent="0.25">
      <c r="B15" s="5"/>
      <c r="G15" s="6"/>
    </row>
    <row r="16" spans="2:9" ht="28.5" x14ac:dyDescent="0.45">
      <c r="B16" s="5"/>
      <c r="C16" s="89" t="s">
        <v>0</v>
      </c>
      <c r="D16" s="93">
        <f>'Quantifier Work Req'!$E$3</f>
        <v>88888888</v>
      </c>
      <c r="E16" s="7"/>
      <c r="G16" s="6"/>
    </row>
    <row r="17" spans="2:7" ht="28.5" x14ac:dyDescent="0.45">
      <c r="B17" s="5"/>
      <c r="C17" s="89" t="s">
        <v>1</v>
      </c>
      <c r="D17" s="94">
        <f ca="1">TODAY()</f>
        <v>44817</v>
      </c>
      <c r="E17" s="7"/>
      <c r="G17" s="6"/>
    </row>
    <row r="18" spans="2:7" ht="28.5" x14ac:dyDescent="0.45">
      <c r="B18" s="5"/>
      <c r="C18" s="89" t="s">
        <v>328</v>
      </c>
      <c r="D18" s="92" t="str">
        <f>'Quantifier Work Req'!$R$6</f>
        <v>131 Diana Drive, Glenfield</v>
      </c>
      <c r="E18" s="7"/>
      <c r="G18" s="6"/>
    </row>
    <row r="19" spans="2:7" ht="28.5" x14ac:dyDescent="0.45">
      <c r="B19" s="5"/>
      <c r="C19" s="89" t="s">
        <v>2</v>
      </c>
      <c r="D19" s="93" t="str">
        <f>'Quantifier Work Req'!$D$6</f>
        <v>TIRSH</v>
      </c>
      <c r="E19" s="7"/>
      <c r="G19" s="6"/>
    </row>
    <row r="20" spans="2:7" x14ac:dyDescent="0.25">
      <c r="B20" s="5"/>
      <c r="G20" s="6"/>
    </row>
    <row r="21" spans="2:7" ht="21" x14ac:dyDescent="0.35">
      <c r="B21" s="5"/>
      <c r="C21" s="90" t="s">
        <v>3</v>
      </c>
      <c r="D21" s="95" t="str">
        <f>'Quantifier Work Req'!$E$4</f>
        <v>Aaron</v>
      </c>
      <c r="G21" s="6"/>
    </row>
    <row r="22" spans="2:7" ht="21" x14ac:dyDescent="0.35">
      <c r="B22" s="5"/>
      <c r="C22" s="91"/>
      <c r="D22" s="90"/>
      <c r="G22" s="6"/>
    </row>
    <row r="23" spans="2:7" ht="21" x14ac:dyDescent="0.35">
      <c r="B23" s="5"/>
      <c r="C23" s="90" t="s">
        <v>4</v>
      </c>
      <c r="D23" s="95" t="str">
        <f>D21</f>
        <v>Aaron</v>
      </c>
      <c r="G23" s="6"/>
    </row>
    <row r="24" spans="2:7" ht="21" x14ac:dyDescent="0.35">
      <c r="B24" s="5"/>
      <c r="C24" s="248" t="str">
        <f>'Quantifier Work Req'!$R$3</f>
        <v>Hillside Template</v>
      </c>
      <c r="D24" s="91"/>
      <c r="G24" s="6"/>
    </row>
    <row r="25" spans="2:7" ht="21" x14ac:dyDescent="0.35">
      <c r="B25" s="5"/>
      <c r="C25" s="248"/>
      <c r="D25" s="91"/>
      <c r="G25" s="6"/>
    </row>
    <row r="26" spans="2:7" ht="21" x14ac:dyDescent="0.35">
      <c r="B26" s="5"/>
      <c r="C26" s="248"/>
      <c r="D26" s="91"/>
      <c r="G26" s="6"/>
    </row>
    <row r="27" spans="2:7" ht="21" x14ac:dyDescent="0.35">
      <c r="B27" s="5"/>
      <c r="C27" s="248"/>
      <c r="D27" s="91"/>
      <c r="G27" s="6"/>
    </row>
    <row r="28" spans="2:7" ht="15.75" x14ac:dyDescent="0.25">
      <c r="B28" s="5"/>
      <c r="C28" s="8"/>
      <c r="D28" s="8"/>
      <c r="G28" s="6"/>
    </row>
    <row r="29" spans="2:7" ht="15.75" x14ac:dyDescent="0.25">
      <c r="B29" s="5"/>
      <c r="C29" s="8"/>
      <c r="D29" s="8"/>
      <c r="G29" s="6"/>
    </row>
    <row r="30" spans="2:7" ht="15.75" x14ac:dyDescent="0.25">
      <c r="B30" s="5"/>
      <c r="C30" s="8"/>
      <c r="D30" s="8"/>
      <c r="G30" s="6"/>
    </row>
    <row r="31" spans="2:7" ht="15.75" x14ac:dyDescent="0.25">
      <c r="B31" s="5"/>
      <c r="C31" s="8"/>
      <c r="D31" s="8"/>
      <c r="G31" s="6"/>
    </row>
    <row r="32" spans="2:7" x14ac:dyDescent="0.25">
      <c r="B32" s="5"/>
      <c r="G32" s="6"/>
    </row>
    <row r="33" spans="2:7" x14ac:dyDescent="0.25">
      <c r="B33" s="5"/>
      <c r="G33" s="6"/>
    </row>
    <row r="34" spans="2:7" x14ac:dyDescent="0.25">
      <c r="B34" s="5"/>
      <c r="G34" s="6"/>
    </row>
    <row r="35" spans="2:7" x14ac:dyDescent="0.25">
      <c r="B35" s="5"/>
      <c r="G35" s="6"/>
    </row>
    <row r="36" spans="2:7" ht="15.75" thickBot="1" x14ac:dyDescent="0.3">
      <c r="B36" s="9"/>
      <c r="C36" s="2"/>
      <c r="D36" s="2"/>
      <c r="E36" s="2"/>
      <c r="F36" s="2"/>
      <c r="G36" s="10"/>
    </row>
  </sheetData>
  <mergeCells count="1">
    <mergeCell ref="C24:C27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C4EDA-BCCD-4B3D-B3BB-4B53E14CF684}">
  <sheetPr>
    <tabColor rgb="FF00B050"/>
  </sheetPr>
  <dimension ref="A1:B80"/>
  <sheetViews>
    <sheetView topLeftCell="A7" workbookViewId="0">
      <selection activeCell="D6" sqref="D6"/>
    </sheetView>
  </sheetViews>
  <sheetFormatPr defaultRowHeight="15" x14ac:dyDescent="0.25"/>
  <sheetData>
    <row r="1" spans="1:2" x14ac:dyDescent="0.25">
      <c r="A1" s="105" t="s">
        <v>438</v>
      </c>
    </row>
    <row r="3" spans="1:2" x14ac:dyDescent="0.25">
      <c r="B3" s="103" t="s">
        <v>400</v>
      </c>
    </row>
    <row r="6" spans="1:2" x14ac:dyDescent="0.25">
      <c r="B6" s="102" t="str">
        <f>'Quantifier Work Req'!$R$3</f>
        <v>Hillside Template</v>
      </c>
    </row>
    <row r="79" spans="1:1" x14ac:dyDescent="0.25">
      <c r="A79" t="s">
        <v>401</v>
      </c>
    </row>
    <row r="80" spans="1:1" x14ac:dyDescent="0.25">
      <c r="A80" s="102" t="str">
        <f>'Quantifier Work Req'!E4</f>
        <v>Aaron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8B86-AB2C-4B22-B43B-3EE18096104A}">
  <sheetPr>
    <tabColor rgb="FF00B050"/>
  </sheetPr>
  <dimension ref="B1:J47"/>
  <sheetViews>
    <sheetView topLeftCell="A10" workbookViewId="0">
      <selection activeCell="M41" sqref="M41"/>
    </sheetView>
  </sheetViews>
  <sheetFormatPr defaultRowHeight="11.25" x14ac:dyDescent="0.2"/>
  <cols>
    <col min="1" max="1" width="1.7109375" style="83" customWidth="1"/>
    <col min="2" max="2" width="3.85546875" style="83" customWidth="1"/>
    <col min="3" max="8" width="9.140625" style="83"/>
    <col min="9" max="9" width="13.28515625" style="83" customWidth="1"/>
    <col min="10" max="10" width="8.5703125" style="83" customWidth="1"/>
    <col min="11" max="11" width="6.28515625" style="83" customWidth="1"/>
    <col min="12" max="16384" width="9.140625" style="83"/>
  </cols>
  <sheetData>
    <row r="1" spans="2:10" x14ac:dyDescent="0.2">
      <c r="B1" s="82"/>
    </row>
    <row r="10" spans="2:10" x14ac:dyDescent="0.2">
      <c r="B10" s="251" t="s">
        <v>316</v>
      </c>
      <c r="C10" s="251"/>
      <c r="D10" s="250" t="str">
        <f>'Quantifier Work Req'!$R$6</f>
        <v>131 Diana Drive, Glenfield</v>
      </c>
      <c r="E10" s="250"/>
      <c r="F10" s="250"/>
      <c r="I10" s="249">
        <f ca="1">TODAY()</f>
        <v>44817</v>
      </c>
      <c r="J10" s="249"/>
    </row>
    <row r="11" spans="2:10" ht="15" customHeight="1" x14ac:dyDescent="0.2">
      <c r="B11" s="251" t="s">
        <v>398</v>
      </c>
      <c r="C11" s="251"/>
      <c r="D11" s="87">
        <f>'Quantifier Work Req'!$E$3</f>
        <v>88888888</v>
      </c>
      <c r="E11" s="86"/>
      <c r="F11" s="86"/>
      <c r="I11" s="85"/>
      <c r="J11" s="85"/>
    </row>
    <row r="12" spans="2:10" x14ac:dyDescent="0.2">
      <c r="B12" s="252" t="str">
        <f>'Quantifier Work Req'!$D$6</f>
        <v>TIRSH</v>
      </c>
      <c r="C12" s="252"/>
      <c r="D12" s="252"/>
    </row>
    <row r="13" spans="2:10" x14ac:dyDescent="0.2">
      <c r="B13" s="83" t="s">
        <v>300</v>
      </c>
    </row>
    <row r="15" spans="2:10" x14ac:dyDescent="0.2">
      <c r="B15" s="83" t="s">
        <v>301</v>
      </c>
    </row>
    <row r="16" spans="2:10" x14ac:dyDescent="0.2">
      <c r="B16" s="83" t="s">
        <v>302</v>
      </c>
    </row>
    <row r="17" spans="2:10" s="84" customFormat="1" x14ac:dyDescent="0.2">
      <c r="B17" s="83"/>
      <c r="C17" s="83"/>
      <c r="D17" s="83"/>
      <c r="E17" s="83"/>
      <c r="F17" s="83"/>
      <c r="G17" s="83"/>
      <c r="H17" s="83"/>
      <c r="I17" s="83"/>
      <c r="J17" s="83"/>
    </row>
    <row r="18" spans="2:10" x14ac:dyDescent="0.2">
      <c r="B18" s="84" t="s">
        <v>303</v>
      </c>
    </row>
    <row r="19" spans="2:10" x14ac:dyDescent="0.2">
      <c r="B19" s="84" t="s">
        <v>304</v>
      </c>
    </row>
    <row r="20" spans="2:10" x14ac:dyDescent="0.2">
      <c r="B20" s="84"/>
    </row>
    <row r="21" spans="2:10" x14ac:dyDescent="0.2">
      <c r="B21" s="84" t="s">
        <v>305</v>
      </c>
    </row>
    <row r="22" spans="2:10" x14ac:dyDescent="0.2">
      <c r="B22" s="84" t="s">
        <v>306</v>
      </c>
    </row>
    <row r="23" spans="2:10" x14ac:dyDescent="0.2">
      <c r="B23" s="84" t="s">
        <v>307</v>
      </c>
    </row>
    <row r="24" spans="2:10" x14ac:dyDescent="0.2">
      <c r="B24" s="84"/>
    </row>
    <row r="25" spans="2:10" x14ac:dyDescent="0.2">
      <c r="B25" s="84" t="s">
        <v>308</v>
      </c>
      <c r="C25" s="84"/>
      <c r="D25" s="84"/>
      <c r="E25" s="84"/>
      <c r="F25" s="84"/>
      <c r="G25" s="84"/>
      <c r="H25" s="84"/>
      <c r="I25" s="84"/>
      <c r="J25" s="84"/>
    </row>
    <row r="26" spans="2:10" x14ac:dyDescent="0.2">
      <c r="B26" s="83" t="s">
        <v>325</v>
      </c>
      <c r="C26" s="83" t="s">
        <v>317</v>
      </c>
    </row>
    <row r="27" spans="2:10" x14ac:dyDescent="0.2">
      <c r="B27" s="83" t="s">
        <v>325</v>
      </c>
      <c r="C27" s="83" t="s">
        <v>318</v>
      </c>
    </row>
    <row r="28" spans="2:10" x14ac:dyDescent="0.2">
      <c r="B28" s="83" t="s">
        <v>325</v>
      </c>
      <c r="C28" s="83" t="s">
        <v>309</v>
      </c>
    </row>
    <row r="29" spans="2:10" x14ac:dyDescent="0.2">
      <c r="C29" s="83" t="s">
        <v>310</v>
      </c>
    </row>
    <row r="30" spans="2:10" x14ac:dyDescent="0.2">
      <c r="B30" s="83" t="s">
        <v>325</v>
      </c>
      <c r="C30" s="83" t="s">
        <v>315</v>
      </c>
    </row>
    <row r="31" spans="2:10" x14ac:dyDescent="0.2">
      <c r="B31" s="83" t="s">
        <v>325</v>
      </c>
      <c r="C31" s="83" t="s">
        <v>319</v>
      </c>
    </row>
    <row r="32" spans="2:10" x14ac:dyDescent="0.2">
      <c r="C32" s="83" t="s">
        <v>311</v>
      </c>
    </row>
    <row r="33" spans="2:10" x14ac:dyDescent="0.2">
      <c r="B33" s="83" t="s">
        <v>325</v>
      </c>
      <c r="C33" s="83" t="s">
        <v>320</v>
      </c>
    </row>
    <row r="34" spans="2:10" x14ac:dyDescent="0.2">
      <c r="B34" s="83" t="s">
        <v>325</v>
      </c>
      <c r="C34" s="83" t="s">
        <v>312</v>
      </c>
    </row>
    <row r="35" spans="2:10" x14ac:dyDescent="0.2">
      <c r="C35" s="83" t="s">
        <v>313</v>
      </c>
    </row>
    <row r="36" spans="2:10" x14ac:dyDescent="0.2">
      <c r="B36" s="83" t="s">
        <v>325</v>
      </c>
      <c r="C36" s="83" t="s">
        <v>321</v>
      </c>
    </row>
    <row r="37" spans="2:10" x14ac:dyDescent="0.2">
      <c r="B37" s="83" t="s">
        <v>325</v>
      </c>
      <c r="C37" s="83" t="s">
        <v>322</v>
      </c>
    </row>
    <row r="38" spans="2:10" x14ac:dyDescent="0.2">
      <c r="B38" s="83" t="s">
        <v>325</v>
      </c>
      <c r="C38" s="83" t="s">
        <v>326</v>
      </c>
    </row>
    <row r="39" spans="2:10" x14ac:dyDescent="0.2">
      <c r="B39" s="83" t="s">
        <v>325</v>
      </c>
      <c r="C39" s="83" t="s">
        <v>323</v>
      </c>
    </row>
    <row r="40" spans="2:10" x14ac:dyDescent="0.2">
      <c r="B40" s="83" t="s">
        <v>325</v>
      </c>
      <c r="C40" s="83" t="s">
        <v>324</v>
      </c>
    </row>
    <row r="42" spans="2:10" x14ac:dyDescent="0.2">
      <c r="B42" s="86" t="s">
        <v>327</v>
      </c>
      <c r="C42" s="86"/>
      <c r="D42" s="86"/>
      <c r="E42" s="86"/>
      <c r="F42" s="86"/>
      <c r="G42" s="86"/>
      <c r="H42" s="86"/>
      <c r="I42" s="86"/>
      <c r="J42" s="88" t="str">
        <f>'Quantifier Work Req'!$E$4</f>
        <v>Aaron</v>
      </c>
    </row>
    <row r="43" spans="2:10" x14ac:dyDescent="0.2">
      <c r="B43" s="86"/>
      <c r="C43" s="86"/>
      <c r="D43" s="86"/>
      <c r="E43" s="86"/>
      <c r="F43" s="86"/>
      <c r="G43" s="86"/>
      <c r="H43" s="86"/>
      <c r="I43" s="86"/>
    </row>
    <row r="44" spans="2:10" x14ac:dyDescent="0.2">
      <c r="B44" s="83" t="s">
        <v>314</v>
      </c>
    </row>
    <row r="46" spans="2:10" x14ac:dyDescent="0.2">
      <c r="B46" s="87" t="str">
        <f>J42</f>
        <v>Aaron</v>
      </c>
      <c r="C46" s="87"/>
      <c r="D46" s="87"/>
    </row>
    <row r="47" spans="2:10" x14ac:dyDescent="0.2">
      <c r="B47" s="87" t="str">
        <f>'Quantifier Work Req'!$R$3</f>
        <v>Hillside Template</v>
      </c>
      <c r="C47" s="87"/>
      <c r="D47" s="87"/>
    </row>
  </sheetData>
  <mergeCells count="5">
    <mergeCell ref="I10:J10"/>
    <mergeCell ref="D10:F10"/>
    <mergeCell ref="B10:C10"/>
    <mergeCell ref="B12:D12"/>
    <mergeCell ref="B11:C1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F2B2-DB0F-4023-B91A-3B0C5FF81223}">
  <sheetPr>
    <tabColor rgb="FF00B050"/>
  </sheetPr>
  <dimension ref="B6:M37"/>
  <sheetViews>
    <sheetView workbookViewId="0">
      <selection activeCell="B9" sqref="B9:C9"/>
    </sheetView>
  </sheetViews>
  <sheetFormatPr defaultRowHeight="15" x14ac:dyDescent="0.25"/>
  <cols>
    <col min="1" max="1" width="5.42578125" customWidth="1"/>
    <col min="2" max="2" width="9.42578125" style="43" bestFit="1" customWidth="1"/>
    <col min="4" max="4" width="3.7109375" customWidth="1"/>
    <col min="11" max="11" width="5.42578125" customWidth="1"/>
    <col min="12" max="12" width="2.7109375" customWidth="1"/>
  </cols>
  <sheetData>
    <row r="6" spans="2:7" x14ac:dyDescent="0.25">
      <c r="B6" s="101">
        <v>44749</v>
      </c>
    </row>
    <row r="7" spans="2:7" x14ac:dyDescent="0.25">
      <c r="B7" s="101"/>
    </row>
    <row r="8" spans="2:7" x14ac:dyDescent="0.25">
      <c r="B8" s="104" t="str">
        <f>'Quantifier Work Req'!$D$6</f>
        <v>TIRSH</v>
      </c>
    </row>
    <row r="9" spans="2:7" x14ac:dyDescent="0.25">
      <c r="B9" s="43" t="s">
        <v>398</v>
      </c>
      <c r="C9" s="104">
        <f>'Quantifier Work Req'!$E$3</f>
        <v>88888888</v>
      </c>
    </row>
    <row r="10" spans="2:7" x14ac:dyDescent="0.25">
      <c r="B10" s="43" t="s">
        <v>397</v>
      </c>
      <c r="C10" s="253" t="str">
        <f>'Quantifier Work Req'!R6</f>
        <v>131 Diana Drive, Glenfield</v>
      </c>
      <c r="D10" s="253"/>
      <c r="E10" s="253"/>
      <c r="F10" s="253"/>
      <c r="G10" s="253"/>
    </row>
    <row r="13" spans="2:7" x14ac:dyDescent="0.25">
      <c r="B13" s="43" t="s">
        <v>378</v>
      </c>
    </row>
    <row r="14" spans="2:7" x14ac:dyDescent="0.25">
      <c r="B14" s="43" t="s">
        <v>379</v>
      </c>
    </row>
    <row r="15" spans="2:7" x14ac:dyDescent="0.25">
      <c r="B15" s="43" t="s">
        <v>380</v>
      </c>
    </row>
    <row r="17" spans="2:13" x14ac:dyDescent="0.25">
      <c r="B17" s="43" t="s">
        <v>381</v>
      </c>
    </row>
    <row r="18" spans="2:13" x14ac:dyDescent="0.25">
      <c r="B18" s="43" t="s">
        <v>382</v>
      </c>
    </row>
    <row r="20" spans="2:13" x14ac:dyDescent="0.25">
      <c r="B20" s="43" t="s">
        <v>383</v>
      </c>
    </row>
    <row r="21" spans="2:13" x14ac:dyDescent="0.25">
      <c r="B21" s="43" t="s">
        <v>384</v>
      </c>
    </row>
    <row r="23" spans="2:13" x14ac:dyDescent="0.25">
      <c r="B23" s="43" t="s">
        <v>385</v>
      </c>
    </row>
    <row r="24" spans="2:13" x14ac:dyDescent="0.25">
      <c r="B24" s="43" t="s">
        <v>386</v>
      </c>
    </row>
    <row r="25" spans="2:13" x14ac:dyDescent="0.25">
      <c r="B25" s="43" t="s">
        <v>387</v>
      </c>
    </row>
    <row r="27" spans="2:13" x14ac:dyDescent="0.25">
      <c r="B27" s="43" t="s">
        <v>388</v>
      </c>
    </row>
    <row r="28" spans="2:13" x14ac:dyDescent="0.25">
      <c r="B28" s="43" t="s">
        <v>389</v>
      </c>
    </row>
    <row r="29" spans="2:13" x14ac:dyDescent="0.25">
      <c r="B29" s="49" t="s">
        <v>390</v>
      </c>
      <c r="M29" s="100" t="s">
        <v>402</v>
      </c>
    </row>
    <row r="30" spans="2:13" x14ac:dyDescent="0.25">
      <c r="B30" s="49" t="s">
        <v>391</v>
      </c>
    </row>
    <row r="31" spans="2:13" x14ac:dyDescent="0.25">
      <c r="B31" s="49" t="s">
        <v>392</v>
      </c>
    </row>
    <row r="32" spans="2:13" x14ac:dyDescent="0.25">
      <c r="B32" s="49"/>
    </row>
    <row r="33" spans="2:2" x14ac:dyDescent="0.25">
      <c r="B33" s="43" t="s">
        <v>393</v>
      </c>
    </row>
    <row r="34" spans="2:2" x14ac:dyDescent="0.25">
      <c r="B34" s="43" t="s">
        <v>394</v>
      </c>
    </row>
    <row r="36" spans="2:2" x14ac:dyDescent="0.25">
      <c r="B36" s="43" t="s">
        <v>395</v>
      </c>
    </row>
    <row r="37" spans="2:2" x14ac:dyDescent="0.25">
      <c r="B37" s="43" t="s">
        <v>396</v>
      </c>
    </row>
  </sheetData>
  <mergeCells count="1">
    <mergeCell ref="C10:G10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5388-7816-4A56-841C-8C48B1DE58C8}">
  <sheetPr>
    <tabColor theme="9"/>
  </sheetPr>
  <dimension ref="A1:N49"/>
  <sheetViews>
    <sheetView workbookViewId="0">
      <selection activeCell="I21" sqref="I21"/>
    </sheetView>
  </sheetViews>
  <sheetFormatPr defaultRowHeight="15" x14ac:dyDescent="0.25"/>
  <cols>
    <col min="1" max="1" width="2.140625" customWidth="1"/>
    <col min="3" max="3" width="8" customWidth="1"/>
    <col min="6" max="6" width="2.140625" customWidth="1"/>
    <col min="7" max="7" width="5.28515625" customWidth="1"/>
    <col min="8" max="8" width="9.42578125" customWidth="1"/>
    <col min="11" max="11" width="14.42578125" customWidth="1"/>
    <col min="12" max="12" width="2.85546875" customWidth="1"/>
    <col min="13" max="13" width="0" hidden="1" customWidth="1"/>
    <col min="14" max="14" width="2" hidden="1" customWidth="1"/>
  </cols>
  <sheetData>
    <row r="1" spans="2:11" x14ac:dyDescent="0.25">
      <c r="B1" s="275"/>
      <c r="C1" s="275"/>
      <c r="D1" s="275"/>
      <c r="E1" s="275"/>
      <c r="F1" s="43"/>
      <c r="G1" s="43"/>
      <c r="H1" s="43"/>
      <c r="I1" s="43"/>
      <c r="J1" s="43"/>
      <c r="K1" s="43"/>
    </row>
    <row r="2" spans="2:11" ht="15.75" x14ac:dyDescent="0.25">
      <c r="B2" s="275"/>
      <c r="C2" s="275"/>
      <c r="D2" s="275"/>
      <c r="E2" s="275"/>
      <c r="F2" s="255" t="s">
        <v>282</v>
      </c>
      <c r="G2" s="255"/>
      <c r="H2" s="255"/>
      <c r="I2" s="255"/>
      <c r="J2" s="255"/>
      <c r="K2" s="255"/>
    </row>
    <row r="3" spans="2:11" x14ac:dyDescent="0.25">
      <c r="B3" s="275"/>
      <c r="C3" s="275"/>
      <c r="D3" s="275"/>
      <c r="E3" s="275"/>
      <c r="F3" s="43"/>
      <c r="G3" s="43"/>
      <c r="H3" s="43"/>
      <c r="I3" s="43"/>
      <c r="J3" s="43"/>
      <c r="K3" s="43"/>
    </row>
    <row r="4" spans="2:11" x14ac:dyDescent="0.25">
      <c r="B4" s="261" t="s">
        <v>243</v>
      </c>
      <c r="C4" s="262"/>
      <c r="D4" s="263" t="str">
        <f>'Quantifier Work Req'!D6</f>
        <v>TIRSH</v>
      </c>
      <c r="E4" s="264"/>
      <c r="F4" s="265"/>
      <c r="G4" s="276" t="s">
        <v>248</v>
      </c>
      <c r="H4" s="262"/>
      <c r="I4" s="277">
        <f ca="1">TODAY()</f>
        <v>44817</v>
      </c>
      <c r="J4" s="278"/>
      <c r="K4" s="279"/>
    </row>
    <row r="5" spans="2:11" ht="5.0999999999999996" customHeight="1" x14ac:dyDescent="0.25">
      <c r="B5" s="43"/>
      <c r="C5" s="43"/>
      <c r="D5" s="43"/>
      <c r="E5" s="43"/>
      <c r="F5" s="43"/>
      <c r="G5" s="43"/>
      <c r="H5" s="43"/>
      <c r="I5" s="43"/>
      <c r="J5" s="43"/>
      <c r="K5" s="43"/>
    </row>
    <row r="6" spans="2:11" x14ac:dyDescent="0.25">
      <c r="B6" s="261" t="s">
        <v>244</v>
      </c>
      <c r="C6" s="262"/>
      <c r="D6" s="263" t="str">
        <f>'Quantifier Work Req'!R6</f>
        <v>131 Diana Drive, Glenfield</v>
      </c>
      <c r="E6" s="264"/>
      <c r="F6" s="265"/>
      <c r="G6" s="276" t="s">
        <v>249</v>
      </c>
      <c r="H6" s="262"/>
      <c r="I6" s="280">
        <f ca="1">I4+15</f>
        <v>44832</v>
      </c>
      <c r="J6" s="281"/>
      <c r="K6" s="282"/>
    </row>
    <row r="7" spans="2:11" ht="5.0999999999999996" customHeight="1" x14ac:dyDescent="0.25">
      <c r="B7" s="43"/>
      <c r="C7" s="43"/>
      <c r="D7" s="43"/>
      <c r="E7" s="43"/>
      <c r="F7" s="43"/>
      <c r="G7" s="43"/>
      <c r="H7" s="43"/>
      <c r="I7" s="43"/>
      <c r="J7" s="43"/>
      <c r="K7" s="43"/>
    </row>
    <row r="8" spans="2:11" x14ac:dyDescent="0.25">
      <c r="B8" s="261" t="s">
        <v>245</v>
      </c>
      <c r="C8" s="262"/>
      <c r="D8" s="258" t="str">
        <f>'Quantifier Work Req'!R6</f>
        <v>131 Diana Drive, Glenfield</v>
      </c>
      <c r="E8" s="259"/>
      <c r="F8" s="260"/>
      <c r="G8" s="276" t="s">
        <v>444</v>
      </c>
      <c r="H8" s="261"/>
      <c r="I8" s="263" t="str">
        <f>D4</f>
        <v>TIRSH</v>
      </c>
      <c r="J8" s="264"/>
      <c r="K8" s="265"/>
    </row>
    <row r="9" spans="2:11" ht="5.0999999999999996" customHeight="1" x14ac:dyDescent="0.25">
      <c r="B9" s="43"/>
      <c r="C9" s="43"/>
      <c r="D9" s="43"/>
      <c r="E9" s="43"/>
      <c r="F9" s="43"/>
      <c r="G9" s="43"/>
      <c r="H9" s="43"/>
      <c r="I9" s="43"/>
      <c r="J9" s="43"/>
      <c r="K9" s="43"/>
    </row>
    <row r="10" spans="2:11" x14ac:dyDescent="0.25">
      <c r="B10" s="43"/>
      <c r="C10" s="43"/>
      <c r="D10" s="43"/>
      <c r="E10" s="43"/>
      <c r="F10" s="43"/>
      <c r="G10" s="261" t="s">
        <v>251</v>
      </c>
      <c r="H10" s="262"/>
      <c r="I10" s="258" t="str">
        <f>'Quantifier Work Req'!E7</f>
        <v>quotes@hillsideitm.co.nz</v>
      </c>
      <c r="J10" s="259"/>
      <c r="K10" s="260"/>
    </row>
    <row r="11" spans="2:11" ht="5.0999999999999996" customHeight="1" x14ac:dyDescent="0.25">
      <c r="B11" s="43"/>
      <c r="C11" s="43"/>
      <c r="D11" s="43"/>
      <c r="E11" s="43"/>
      <c r="F11" s="43"/>
      <c r="G11" s="43"/>
      <c r="H11" s="43"/>
      <c r="I11" s="43"/>
      <c r="J11" s="43"/>
      <c r="K11" s="43"/>
    </row>
    <row r="12" spans="2:11" x14ac:dyDescent="0.25">
      <c r="B12" s="261" t="s">
        <v>276</v>
      </c>
      <c r="C12" s="275"/>
      <c r="D12" s="283" t="str">
        <f>'Quantifier Work Req'!R3</f>
        <v>Hillside Template</v>
      </c>
      <c r="E12" s="283"/>
      <c r="F12" s="283"/>
      <c r="G12" s="261" t="s">
        <v>252</v>
      </c>
      <c r="H12" s="262"/>
      <c r="I12" s="263">
        <f>'Quantifier Work Req'!E3</f>
        <v>88888888</v>
      </c>
      <c r="J12" s="264"/>
      <c r="K12" s="265"/>
    </row>
    <row r="13" spans="2:11" ht="5.0999999999999996" customHeight="1" x14ac:dyDescent="0.25"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2:11" x14ac:dyDescent="0.25">
      <c r="B14" s="261" t="s">
        <v>246</v>
      </c>
      <c r="C14" s="262"/>
      <c r="D14" s="263" t="str">
        <f>'Quantifier Work Req'!E4</f>
        <v>Aaron</v>
      </c>
      <c r="E14" s="264"/>
      <c r="F14" s="265"/>
      <c r="G14" s="43"/>
      <c r="H14" s="43"/>
      <c r="I14" s="43"/>
      <c r="J14" s="43"/>
      <c r="K14" s="43"/>
    </row>
    <row r="15" spans="2:11" ht="5.0999999999999996" customHeight="1" x14ac:dyDescent="0.25"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2:11" x14ac:dyDescent="0.25">
      <c r="B16" s="261" t="s">
        <v>267</v>
      </c>
      <c r="C16" s="262"/>
      <c r="D16" s="263" t="str">
        <f>D14</f>
        <v>Aaron</v>
      </c>
      <c r="E16" s="264"/>
      <c r="F16" s="265"/>
      <c r="G16" s="43"/>
      <c r="H16" s="43"/>
      <c r="I16" s="43"/>
      <c r="J16" s="43"/>
      <c r="K16" s="43"/>
    </row>
    <row r="18" spans="1:14" x14ac:dyDescent="0.25">
      <c r="A18" s="273" t="s">
        <v>270</v>
      </c>
      <c r="B18" s="273"/>
      <c r="C18" s="273"/>
      <c r="D18" s="273"/>
      <c r="E18" s="273"/>
      <c r="G18" s="254" t="s">
        <v>281</v>
      </c>
      <c r="H18" s="254"/>
    </row>
    <row r="19" spans="1:14" x14ac:dyDescent="0.25">
      <c r="B19" s="182" t="s">
        <v>268</v>
      </c>
      <c r="C19" s="182"/>
      <c r="D19" s="182"/>
      <c r="E19" s="182"/>
      <c r="F19" s="182"/>
      <c r="G19" s="267"/>
      <c r="H19" s="267"/>
      <c r="I19" t="s">
        <v>455</v>
      </c>
      <c r="M19" t="s">
        <v>235</v>
      </c>
    </row>
    <row r="20" spans="1:14" ht="5.0999999999999996" customHeight="1" x14ac:dyDescent="0.25">
      <c r="B20" s="59"/>
      <c r="C20" s="59"/>
      <c r="D20" s="59"/>
      <c r="E20" s="59"/>
      <c r="F20" s="59"/>
      <c r="G20" s="59"/>
      <c r="H20" s="59"/>
      <c r="I20" s="59"/>
      <c r="J20" s="59"/>
    </row>
    <row r="21" spans="1:14" x14ac:dyDescent="0.25">
      <c r="B21" s="182" t="s">
        <v>271</v>
      </c>
      <c r="C21" s="182"/>
      <c r="D21" s="182"/>
      <c r="E21" s="182"/>
      <c r="F21" s="182"/>
      <c r="G21" s="267"/>
      <c r="H21" s="267"/>
      <c r="I21" t="s">
        <v>455</v>
      </c>
      <c r="M21" t="s">
        <v>236</v>
      </c>
    </row>
    <row r="22" spans="1:14" ht="5.0999999999999996" customHeight="1" x14ac:dyDescent="0.25">
      <c r="B22" s="59"/>
      <c r="C22" s="59"/>
      <c r="D22" s="59"/>
      <c r="E22" s="59"/>
      <c r="F22" s="59"/>
      <c r="G22" s="59"/>
      <c r="H22" s="59"/>
      <c r="I22" s="59"/>
      <c r="J22" s="59"/>
    </row>
    <row r="23" spans="1:14" x14ac:dyDescent="0.25">
      <c r="B23" s="182" t="s">
        <v>269</v>
      </c>
      <c r="C23" s="182"/>
      <c r="D23" s="182"/>
      <c r="E23" s="182"/>
      <c r="F23" s="182"/>
      <c r="G23" s="267"/>
      <c r="H23" s="267"/>
    </row>
    <row r="24" spans="1:14" x14ac:dyDescent="0.25">
      <c r="B24" s="269"/>
      <c r="C24" s="269"/>
      <c r="D24" s="269"/>
      <c r="E24" s="269"/>
      <c r="F24" s="59"/>
      <c r="G24" s="59"/>
      <c r="H24" s="59"/>
    </row>
    <row r="25" spans="1:14" x14ac:dyDescent="0.25">
      <c r="B25" s="269" t="s">
        <v>274</v>
      </c>
      <c r="C25" s="269"/>
      <c r="D25" s="269"/>
      <c r="E25" s="269"/>
      <c r="F25" s="59"/>
      <c r="G25" s="59" t="s">
        <v>278</v>
      </c>
      <c r="H25" s="59"/>
    </row>
    <row r="26" spans="1:14" x14ac:dyDescent="0.25">
      <c r="B26" s="266" t="s">
        <v>111</v>
      </c>
      <c r="C26" s="169"/>
      <c r="D26" s="169"/>
      <c r="E26" s="169"/>
      <c r="F26" s="59"/>
      <c r="G26" s="80"/>
      <c r="H26" s="256" t="str">
        <f>'Dayle Control'!C13</f>
        <v>if detailed clearly with dimensions</v>
      </c>
      <c r="I26" s="257"/>
      <c r="J26" s="257"/>
      <c r="K26" s="257"/>
      <c r="N26" t="s">
        <v>108</v>
      </c>
    </row>
    <row r="27" spans="1:14" x14ac:dyDescent="0.25">
      <c r="B27" s="266" t="s">
        <v>116</v>
      </c>
      <c r="C27" s="169"/>
      <c r="D27" s="169"/>
      <c r="E27" s="169"/>
      <c r="F27" s="59"/>
      <c r="G27" s="80"/>
      <c r="H27" s="256" t="str">
        <f>'Dayle Control'!C17</f>
        <v>Only supplied if supporting roof structure</v>
      </c>
      <c r="I27" s="257"/>
      <c r="J27" s="257"/>
      <c r="K27" s="257"/>
      <c r="N27" t="s">
        <v>106</v>
      </c>
    </row>
    <row r="28" spans="1:14" x14ac:dyDescent="0.25">
      <c r="B28" s="266" t="s">
        <v>118</v>
      </c>
      <c r="C28" s="169"/>
      <c r="D28" s="169"/>
      <c r="E28" s="169"/>
      <c r="F28" s="59"/>
      <c r="G28" s="80"/>
      <c r="H28" s="256" t="str">
        <f>'Dayle Control'!C19</f>
        <v>Only supplied if supporting roof structure</v>
      </c>
      <c r="I28" s="257"/>
      <c r="J28" s="257"/>
      <c r="K28" s="257"/>
    </row>
    <row r="29" spans="1:14" x14ac:dyDescent="0.25">
      <c r="B29" s="266" t="s">
        <v>120</v>
      </c>
      <c r="C29" s="169"/>
      <c r="D29" s="169"/>
      <c r="E29" s="169"/>
      <c r="F29" s="59"/>
      <c r="G29" s="80"/>
      <c r="H29" s="256" t="str">
        <f>'Dayle Control'!C21</f>
        <v>Only supplied if supporting roof structure</v>
      </c>
      <c r="I29" s="257"/>
      <c r="J29" s="257"/>
      <c r="K29" s="257"/>
    </row>
    <row r="30" spans="1:14" x14ac:dyDescent="0.25">
      <c r="B30" s="266" t="s">
        <v>122</v>
      </c>
      <c r="C30" s="169"/>
      <c r="D30" s="169"/>
      <c r="E30" s="169"/>
      <c r="F30" s="59"/>
      <c r="G30" s="80"/>
      <c r="H30" s="256" t="str">
        <f>'Dayle Control'!C21</f>
        <v>Only supplied if supporting roof structure</v>
      </c>
      <c r="I30" s="257"/>
      <c r="J30" s="257"/>
      <c r="K30" s="257"/>
    </row>
    <row r="31" spans="1:14" x14ac:dyDescent="0.25">
      <c r="B31" s="266" t="s">
        <v>126</v>
      </c>
      <c r="C31" s="169"/>
      <c r="D31" s="169"/>
      <c r="E31" s="169"/>
      <c r="F31" s="59"/>
      <c r="G31" s="80"/>
      <c r="H31" s="256" t="str">
        <f>'Dayle Control'!C26</f>
        <v>If details supplied and dimensioned</v>
      </c>
      <c r="I31" s="257"/>
      <c r="J31" s="257"/>
      <c r="K31" s="257"/>
    </row>
    <row r="32" spans="1:14" x14ac:dyDescent="0.25">
      <c r="B32" s="266" t="s">
        <v>128</v>
      </c>
      <c r="C32" s="169"/>
      <c r="D32" s="169"/>
      <c r="E32" s="169"/>
      <c r="F32" s="59"/>
      <c r="G32" s="80"/>
      <c r="H32" s="256" t="str">
        <f>'Dayle Control'!C27</f>
        <v>If details supplied and dimensioned</v>
      </c>
      <c r="I32" s="257"/>
      <c r="J32" s="257"/>
      <c r="K32" s="257"/>
    </row>
    <row r="33" spans="2:11" x14ac:dyDescent="0.25">
      <c r="B33" s="266" t="s">
        <v>159</v>
      </c>
      <c r="C33" s="169"/>
      <c r="D33" s="169"/>
      <c r="E33" s="169"/>
      <c r="F33" s="59"/>
      <c r="G33" s="80"/>
      <c r="H33" s="256" t="str">
        <f>'Dayle Control'!C64</f>
        <v>if shown on plans</v>
      </c>
      <c r="I33" s="257"/>
      <c r="J33" s="257"/>
      <c r="K33" s="257"/>
    </row>
    <row r="34" spans="2:11" x14ac:dyDescent="0.25">
      <c r="B34" s="266" t="s">
        <v>162</v>
      </c>
      <c r="C34" s="169"/>
      <c r="D34" s="169"/>
      <c r="E34" s="169"/>
      <c r="F34" s="59"/>
      <c r="G34" s="80"/>
      <c r="H34" s="256" t="str">
        <f>'Dayle Control'!C66</f>
        <v>Only supplied if supporting roof structure ( ie trusses)</v>
      </c>
      <c r="I34" s="257"/>
      <c r="J34" s="257"/>
      <c r="K34" s="257"/>
    </row>
    <row r="35" spans="2:11" x14ac:dyDescent="0.25">
      <c r="B35" s="266" t="s">
        <v>165</v>
      </c>
      <c r="C35" s="169"/>
      <c r="D35" s="169"/>
      <c r="E35" s="169"/>
      <c r="F35" s="59"/>
      <c r="G35" s="80"/>
      <c r="H35" s="256" t="str">
        <f>'Dayle Control'!C68</f>
        <v>Only supplied if supporting roof structure ( ie trusses)</v>
      </c>
      <c r="I35" s="257"/>
      <c r="J35" s="257"/>
      <c r="K35" s="257"/>
    </row>
    <row r="36" spans="2:11" x14ac:dyDescent="0.25">
      <c r="B36" s="266" t="s">
        <v>177</v>
      </c>
      <c r="C36" s="169"/>
      <c r="D36" s="169"/>
      <c r="E36" s="169"/>
      <c r="F36" s="59"/>
      <c r="G36" s="80"/>
      <c r="H36" s="256" t="str">
        <f>'Dayle Control'!C78</f>
        <v>Only If shown on plans at pricing</v>
      </c>
      <c r="I36" s="257"/>
      <c r="J36" s="257"/>
      <c r="K36" s="257"/>
    </row>
    <row r="37" spans="2:11" x14ac:dyDescent="0.25">
      <c r="B37" s="270" t="s">
        <v>182</v>
      </c>
      <c r="C37" s="271"/>
      <c r="D37" s="271"/>
      <c r="E37" s="271"/>
      <c r="G37" s="80"/>
      <c r="H37" s="256" t="str">
        <f>'Dayle Control'!C81</f>
        <v>if required (Builder to confirm if on clips at sign up)</v>
      </c>
      <c r="I37" s="257"/>
      <c r="J37" s="257"/>
      <c r="K37" s="257"/>
    </row>
    <row r="38" spans="2:11" x14ac:dyDescent="0.25">
      <c r="B38" s="268" t="s">
        <v>279</v>
      </c>
      <c r="C38" s="269"/>
      <c r="D38" s="269"/>
      <c r="E38" s="269"/>
      <c r="F38" s="59"/>
      <c r="G38" s="59"/>
      <c r="H38" s="59"/>
      <c r="I38" s="59"/>
      <c r="J38" s="59"/>
      <c r="K38" s="59"/>
    </row>
    <row r="39" spans="2:11" x14ac:dyDescent="0.25">
      <c r="B39" s="266" t="s">
        <v>193</v>
      </c>
      <c r="C39" s="169"/>
      <c r="D39" s="169"/>
      <c r="E39" s="169"/>
      <c r="G39" s="80"/>
      <c r="H39" s="272" t="str">
        <f>'Dayle Control'!C98</f>
        <v>on request only, must be detailed</v>
      </c>
      <c r="I39" s="182"/>
      <c r="J39" s="182"/>
      <c r="K39" s="182"/>
    </row>
    <row r="40" spans="2:11" x14ac:dyDescent="0.25">
      <c r="B40" s="268" t="s">
        <v>273</v>
      </c>
      <c r="C40" s="269"/>
      <c r="D40" s="269"/>
      <c r="E40" s="269"/>
      <c r="H40" s="81"/>
      <c r="I40" s="81"/>
      <c r="J40" s="81"/>
      <c r="K40" s="81"/>
    </row>
    <row r="41" spans="2:11" x14ac:dyDescent="0.25">
      <c r="B41" s="266" t="s">
        <v>193</v>
      </c>
      <c r="C41" s="169"/>
      <c r="D41" s="169"/>
      <c r="E41" s="169"/>
      <c r="G41" s="80"/>
      <c r="H41" s="272" t="str">
        <f>'Dayle Control'!C110</f>
        <v>on request only, must be detailed</v>
      </c>
      <c r="I41" s="182"/>
      <c r="J41" s="182"/>
      <c r="K41" s="182"/>
    </row>
    <row r="45" spans="2:11" x14ac:dyDescent="0.25">
      <c r="B45" s="274" t="s">
        <v>272</v>
      </c>
      <c r="C45" s="274"/>
    </row>
    <row r="46" spans="2:11" x14ac:dyDescent="0.25">
      <c r="B46" s="267"/>
      <c r="C46" s="267"/>
      <c r="D46" s="267"/>
      <c r="E46" s="267"/>
      <c r="F46" s="267"/>
      <c r="G46" s="267"/>
      <c r="H46" s="267"/>
      <c r="I46" s="267"/>
      <c r="J46" s="267"/>
      <c r="K46" s="267"/>
    </row>
    <row r="47" spans="2:11" x14ac:dyDescent="0.25">
      <c r="B47" s="267"/>
      <c r="C47" s="267"/>
      <c r="D47" s="267"/>
      <c r="E47" s="267"/>
      <c r="F47" s="267"/>
      <c r="G47" s="267"/>
      <c r="H47" s="267"/>
      <c r="I47" s="267"/>
      <c r="J47" s="267"/>
      <c r="K47" s="267"/>
    </row>
    <row r="48" spans="2:11" x14ac:dyDescent="0.25">
      <c r="B48" s="267"/>
      <c r="C48" s="267"/>
      <c r="D48" s="267"/>
      <c r="E48" s="267"/>
      <c r="F48" s="267"/>
      <c r="G48" s="267"/>
      <c r="H48" s="267"/>
      <c r="I48" s="267"/>
      <c r="J48" s="267"/>
      <c r="K48" s="267"/>
    </row>
    <row r="49" spans="2:11" x14ac:dyDescent="0.25">
      <c r="B49" s="267"/>
      <c r="C49" s="267"/>
      <c r="D49" s="267"/>
      <c r="E49" s="267"/>
      <c r="F49" s="267"/>
      <c r="G49" s="267"/>
      <c r="H49" s="267"/>
      <c r="I49" s="267"/>
      <c r="J49" s="267"/>
      <c r="K49" s="267"/>
    </row>
  </sheetData>
  <mergeCells count="69">
    <mergeCell ref="B14:C14"/>
    <mergeCell ref="D14:F14"/>
    <mergeCell ref="B12:C12"/>
    <mergeCell ref="D12:F12"/>
    <mergeCell ref="B16:C16"/>
    <mergeCell ref="D16:F16"/>
    <mergeCell ref="B6:C6"/>
    <mergeCell ref="D6:F6"/>
    <mergeCell ref="G6:H6"/>
    <mergeCell ref="I6:K6"/>
    <mergeCell ref="B8:C8"/>
    <mergeCell ref="D8:F8"/>
    <mergeCell ref="G8:H8"/>
    <mergeCell ref="I8:K8"/>
    <mergeCell ref="B1:E3"/>
    <mergeCell ref="B4:C4"/>
    <mergeCell ref="D4:F4"/>
    <mergeCell ref="G4:H4"/>
    <mergeCell ref="I4:K4"/>
    <mergeCell ref="A18:E18"/>
    <mergeCell ref="B45:C45"/>
    <mergeCell ref="B46:K46"/>
    <mergeCell ref="B47:K47"/>
    <mergeCell ref="B39:E39"/>
    <mergeCell ref="B40:E40"/>
    <mergeCell ref="B41:E41"/>
    <mergeCell ref="B19:F19"/>
    <mergeCell ref="B21:F21"/>
    <mergeCell ref="B23:F23"/>
    <mergeCell ref="H41:K41"/>
    <mergeCell ref="H28:K28"/>
    <mergeCell ref="B24:E24"/>
    <mergeCell ref="B25:E25"/>
    <mergeCell ref="H26:K26"/>
    <mergeCell ref="H29:K29"/>
    <mergeCell ref="B48:K48"/>
    <mergeCell ref="B49:K49"/>
    <mergeCell ref="G19:H19"/>
    <mergeCell ref="G21:H21"/>
    <mergeCell ref="G23:H23"/>
    <mergeCell ref="B34:E34"/>
    <mergeCell ref="B35:E35"/>
    <mergeCell ref="B36:E36"/>
    <mergeCell ref="B38:E38"/>
    <mergeCell ref="B37:E37"/>
    <mergeCell ref="B29:E29"/>
    <mergeCell ref="B30:E30"/>
    <mergeCell ref="B31:E31"/>
    <mergeCell ref="B32:E32"/>
    <mergeCell ref="B33:E33"/>
    <mergeCell ref="H39:K39"/>
    <mergeCell ref="B26:E26"/>
    <mergeCell ref="B27:E27"/>
    <mergeCell ref="B28:E28"/>
    <mergeCell ref="H27:K27"/>
    <mergeCell ref="H30:K30"/>
    <mergeCell ref="G18:H18"/>
    <mergeCell ref="F2:K2"/>
    <mergeCell ref="H37:K37"/>
    <mergeCell ref="I10:K10"/>
    <mergeCell ref="G12:H12"/>
    <mergeCell ref="I12:K12"/>
    <mergeCell ref="G10:H10"/>
    <mergeCell ref="H36:K36"/>
    <mergeCell ref="H31:K31"/>
    <mergeCell ref="H32:K32"/>
    <mergeCell ref="H33:K33"/>
    <mergeCell ref="H34:K34"/>
    <mergeCell ref="H35:K35"/>
  </mergeCells>
  <phoneticPr fontId="26" type="noConversion"/>
  <dataValidations count="2">
    <dataValidation type="list" allowBlank="1" showInputMessage="1" showErrorMessage="1" sqref="G19 G23 G21" xr:uid="{E3EA78C1-EE95-4F99-9469-38D74E98B45F}">
      <formula1>$M$19:$M$21</formula1>
    </dataValidation>
    <dataValidation type="list" allowBlank="1" showInputMessage="1" showErrorMessage="1" sqref="G41 G39 G26:G37" xr:uid="{6918217B-63B5-475D-9905-884B90D96C22}">
      <formula1>$N$25:$N$27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F01BE-D753-47E6-9289-D75B8DE37911}">
  <sheetPr>
    <tabColor theme="9"/>
  </sheetPr>
  <dimension ref="A1:C112"/>
  <sheetViews>
    <sheetView topLeftCell="A91" zoomScaleNormal="100" workbookViewId="0">
      <selection activeCell="D15" sqref="D15"/>
    </sheetView>
  </sheetViews>
  <sheetFormatPr defaultColWidth="8.85546875" defaultRowHeight="12.75" x14ac:dyDescent="0.2"/>
  <cols>
    <col min="1" max="1" width="39.85546875" style="43" customWidth="1"/>
    <col min="2" max="2" width="4.28515625" style="45" customWidth="1"/>
    <col min="3" max="3" width="43.140625" style="43" customWidth="1"/>
    <col min="4" max="16384" width="8.85546875" style="43"/>
  </cols>
  <sheetData>
    <row r="1" spans="1:3" ht="30.75" customHeight="1" x14ac:dyDescent="0.2">
      <c r="A1" s="284" t="s">
        <v>97</v>
      </c>
      <c r="B1" s="285"/>
      <c r="C1" s="286"/>
    </row>
    <row r="2" spans="1:3" ht="12.95" customHeight="1" x14ac:dyDescent="0.25">
      <c r="A2" s="60" t="s">
        <v>98</v>
      </c>
      <c r="B2" s="70"/>
      <c r="C2" s="78" t="str">
        <f>'Quantifier Work Req'!D6</f>
        <v>TIRSH</v>
      </c>
    </row>
    <row r="3" spans="1:3" ht="12.95" customHeight="1" x14ac:dyDescent="0.25">
      <c r="A3" s="61" t="s">
        <v>100</v>
      </c>
      <c r="B3" s="70"/>
      <c r="C3" s="75" t="str">
        <f>'Dayle PN'!D12</f>
        <v>Hillside Template</v>
      </c>
    </row>
    <row r="4" spans="1:3" ht="12.95" customHeight="1" x14ac:dyDescent="0.25">
      <c r="A4" s="62" t="s">
        <v>101</v>
      </c>
      <c r="B4" s="70"/>
      <c r="C4" s="74">
        <f ca="1">TODAY()</f>
        <v>44817</v>
      </c>
    </row>
    <row r="5" spans="1:3" ht="12.95" customHeight="1" x14ac:dyDescent="0.25">
      <c r="A5" s="76" t="s">
        <v>277</v>
      </c>
      <c r="C5" s="77">
        <f>'Quantifier Work Req'!E3</f>
        <v>88888888</v>
      </c>
    </row>
    <row r="6" spans="1:3" ht="12.95" customHeight="1" x14ac:dyDescent="0.25">
      <c r="A6" s="76"/>
      <c r="C6" s="79"/>
    </row>
    <row r="7" spans="1:3" ht="12.95" customHeight="1" x14ac:dyDescent="0.2">
      <c r="A7" s="63" t="s">
        <v>102</v>
      </c>
      <c r="B7" s="71"/>
      <c r="C7" s="64"/>
    </row>
    <row r="8" spans="1:3" ht="12.95" customHeight="1" x14ac:dyDescent="0.2">
      <c r="A8" s="65"/>
      <c r="B8" s="72" t="s">
        <v>103</v>
      </c>
      <c r="C8" s="66" t="s">
        <v>104</v>
      </c>
    </row>
    <row r="9" spans="1:3" ht="12.95" customHeight="1" x14ac:dyDescent="0.2">
      <c r="A9" s="65" t="s">
        <v>105</v>
      </c>
      <c r="B9" s="71" t="s">
        <v>106</v>
      </c>
      <c r="C9" s="64"/>
    </row>
    <row r="10" spans="1:3" ht="12.95" customHeight="1" x14ac:dyDescent="0.2">
      <c r="A10" s="65" t="s">
        <v>107</v>
      </c>
      <c r="B10" s="71" t="s">
        <v>108</v>
      </c>
      <c r="C10" s="64"/>
    </row>
    <row r="11" spans="1:3" ht="12.95" customHeight="1" x14ac:dyDescent="0.2">
      <c r="A11" s="65" t="s">
        <v>109</v>
      </c>
      <c r="B11" s="71" t="s">
        <v>106</v>
      </c>
      <c r="C11" s="64"/>
    </row>
    <row r="12" spans="1:3" ht="12.95" customHeight="1" x14ac:dyDescent="0.2">
      <c r="A12" s="65" t="s">
        <v>110</v>
      </c>
      <c r="B12" s="71" t="s">
        <v>106</v>
      </c>
      <c r="C12" s="64"/>
    </row>
    <row r="13" spans="1:3" ht="12.95" customHeight="1" x14ac:dyDescent="0.2">
      <c r="A13" s="65" t="s">
        <v>111</v>
      </c>
      <c r="B13" s="71" t="s">
        <v>108</v>
      </c>
      <c r="C13" s="64" t="s">
        <v>112</v>
      </c>
    </row>
    <row r="14" spans="1:3" ht="12.95" customHeight="1" x14ac:dyDescent="0.2">
      <c r="A14" s="65" t="s">
        <v>113</v>
      </c>
      <c r="B14" s="71" t="s">
        <v>108</v>
      </c>
      <c r="C14" s="64"/>
    </row>
    <row r="15" spans="1:3" ht="12.95" customHeight="1" x14ac:dyDescent="0.2">
      <c r="A15" s="65" t="s">
        <v>114</v>
      </c>
      <c r="B15" s="71" t="s">
        <v>108</v>
      </c>
      <c r="C15" s="64"/>
    </row>
    <row r="16" spans="1:3" ht="12.95" customHeight="1" x14ac:dyDescent="0.2">
      <c r="A16" s="65" t="s">
        <v>115</v>
      </c>
      <c r="B16" s="71" t="s">
        <v>106</v>
      </c>
      <c r="C16" s="64"/>
    </row>
    <row r="17" spans="1:3" ht="12.95" customHeight="1" x14ac:dyDescent="0.2">
      <c r="A17" s="65" t="s">
        <v>116</v>
      </c>
      <c r="B17" s="71" t="s">
        <v>108</v>
      </c>
      <c r="C17" s="64" t="s">
        <v>121</v>
      </c>
    </row>
    <row r="18" spans="1:3" ht="12.95" customHeight="1" x14ac:dyDescent="0.2">
      <c r="A18" s="65" t="s">
        <v>117</v>
      </c>
      <c r="B18" s="71" t="s">
        <v>108</v>
      </c>
      <c r="C18" s="64"/>
    </row>
    <row r="19" spans="1:3" ht="12.95" customHeight="1" x14ac:dyDescent="0.2">
      <c r="A19" s="65" t="s">
        <v>118</v>
      </c>
      <c r="B19" s="71" t="s">
        <v>108</v>
      </c>
      <c r="C19" s="64" t="s">
        <v>121</v>
      </c>
    </row>
    <row r="20" spans="1:3" ht="12.95" customHeight="1" x14ac:dyDescent="0.2">
      <c r="A20" s="65" t="s">
        <v>119</v>
      </c>
      <c r="B20" s="71" t="s">
        <v>108</v>
      </c>
      <c r="C20" s="64"/>
    </row>
    <row r="21" spans="1:3" ht="12.95" customHeight="1" x14ac:dyDescent="0.2">
      <c r="A21" s="65" t="s">
        <v>120</v>
      </c>
      <c r="B21" s="71" t="s">
        <v>108</v>
      </c>
      <c r="C21" s="64" t="s">
        <v>121</v>
      </c>
    </row>
    <row r="22" spans="1:3" ht="12.95" customHeight="1" x14ac:dyDescent="0.2">
      <c r="A22" s="65" t="s">
        <v>122</v>
      </c>
      <c r="B22" s="71" t="s">
        <v>108</v>
      </c>
      <c r="C22" s="64" t="s">
        <v>121</v>
      </c>
    </row>
    <row r="23" spans="1:3" ht="12.95" customHeight="1" x14ac:dyDescent="0.2">
      <c r="A23" s="65" t="s">
        <v>123</v>
      </c>
      <c r="B23" s="71" t="s">
        <v>106</v>
      </c>
      <c r="C23" s="64"/>
    </row>
    <row r="24" spans="1:3" ht="12.95" customHeight="1" x14ac:dyDescent="0.2">
      <c r="A24" s="65" t="s">
        <v>124</v>
      </c>
      <c r="B24" s="71" t="s">
        <v>108</v>
      </c>
      <c r="C24" s="64"/>
    </row>
    <row r="25" spans="1:3" ht="12.95" customHeight="1" x14ac:dyDescent="0.2">
      <c r="A25" s="65" t="s">
        <v>125</v>
      </c>
      <c r="B25" s="71" t="s">
        <v>106</v>
      </c>
      <c r="C25" s="64"/>
    </row>
    <row r="26" spans="1:3" ht="12.95" customHeight="1" x14ac:dyDescent="0.2">
      <c r="A26" s="65" t="s">
        <v>126</v>
      </c>
      <c r="B26" s="71" t="s">
        <v>108</v>
      </c>
      <c r="C26" s="64" t="s">
        <v>127</v>
      </c>
    </row>
    <row r="27" spans="1:3" ht="12.95" customHeight="1" x14ac:dyDescent="0.2">
      <c r="A27" s="65" t="s">
        <v>128</v>
      </c>
      <c r="B27" s="71" t="s">
        <v>108</v>
      </c>
      <c r="C27" s="64" t="s">
        <v>127</v>
      </c>
    </row>
    <row r="28" spans="1:3" ht="12.95" customHeight="1" x14ac:dyDescent="0.2">
      <c r="A28" s="65" t="s">
        <v>129</v>
      </c>
      <c r="B28" s="71" t="s">
        <v>106</v>
      </c>
      <c r="C28" s="64"/>
    </row>
    <row r="29" spans="1:3" s="69" customFormat="1" ht="12.95" customHeight="1" x14ac:dyDescent="0.2">
      <c r="A29" s="67" t="s">
        <v>130</v>
      </c>
      <c r="B29" s="73" t="s">
        <v>106</v>
      </c>
      <c r="C29" s="68"/>
    </row>
    <row r="30" spans="1:3" s="69" customFormat="1" ht="12.95" customHeight="1" x14ac:dyDescent="0.2">
      <c r="A30" s="67" t="s">
        <v>131</v>
      </c>
      <c r="B30" s="73" t="s">
        <v>108</v>
      </c>
      <c r="C30" s="68" t="s">
        <v>132</v>
      </c>
    </row>
    <row r="31" spans="1:3" ht="12.95" customHeight="1" x14ac:dyDescent="0.2">
      <c r="A31" s="65" t="s">
        <v>133</v>
      </c>
      <c r="B31" s="71" t="s">
        <v>106</v>
      </c>
      <c r="C31" s="64"/>
    </row>
    <row r="32" spans="1:3" ht="12.95" customHeight="1" x14ac:dyDescent="0.2">
      <c r="A32" s="65"/>
      <c r="B32" s="71"/>
      <c r="C32" s="64"/>
    </row>
    <row r="33" spans="1:3" ht="12.95" customHeight="1" x14ac:dyDescent="0.2">
      <c r="A33" s="63" t="s">
        <v>134</v>
      </c>
      <c r="B33" s="71"/>
      <c r="C33" s="64"/>
    </row>
    <row r="34" spans="1:3" ht="12.95" customHeight="1" x14ac:dyDescent="0.2">
      <c r="A34" s="65"/>
      <c r="B34" s="72" t="s">
        <v>103</v>
      </c>
      <c r="C34" s="64"/>
    </row>
    <row r="35" spans="1:3" ht="12.95" customHeight="1" x14ac:dyDescent="0.2">
      <c r="A35" s="65" t="s">
        <v>135</v>
      </c>
      <c r="B35" s="71" t="s">
        <v>108</v>
      </c>
      <c r="C35" s="64"/>
    </row>
    <row r="36" spans="1:3" ht="12.95" customHeight="1" x14ac:dyDescent="0.2">
      <c r="A36" s="65" t="s">
        <v>136</v>
      </c>
      <c r="B36" s="71" t="s">
        <v>108</v>
      </c>
      <c r="C36" s="64"/>
    </row>
    <row r="37" spans="1:3" ht="12.95" customHeight="1" x14ac:dyDescent="0.2">
      <c r="A37" s="65" t="s">
        <v>137</v>
      </c>
      <c r="B37" s="71" t="s">
        <v>106</v>
      </c>
      <c r="C37" s="64"/>
    </row>
    <row r="38" spans="1:3" ht="12.95" customHeight="1" x14ac:dyDescent="0.2">
      <c r="A38" s="65" t="s">
        <v>138</v>
      </c>
      <c r="B38" s="71" t="s">
        <v>106</v>
      </c>
      <c r="C38" s="64"/>
    </row>
    <row r="39" spans="1:3" ht="12.95" customHeight="1" x14ac:dyDescent="0.2">
      <c r="A39" s="65" t="s">
        <v>139</v>
      </c>
      <c r="B39" s="71" t="s">
        <v>108</v>
      </c>
      <c r="C39" s="64"/>
    </row>
    <row r="40" spans="1:3" ht="12.95" customHeight="1" x14ac:dyDescent="0.2">
      <c r="A40" s="65" t="s">
        <v>140</v>
      </c>
      <c r="B40" s="71" t="s">
        <v>106</v>
      </c>
      <c r="C40" s="64"/>
    </row>
    <row r="41" spans="1:3" ht="12.95" customHeight="1" x14ac:dyDescent="0.2">
      <c r="A41" s="65" t="s">
        <v>141</v>
      </c>
      <c r="B41" s="71" t="s">
        <v>106</v>
      </c>
      <c r="C41" s="64"/>
    </row>
    <row r="42" spans="1:3" ht="12.95" customHeight="1" x14ac:dyDescent="0.2">
      <c r="A42" s="65"/>
      <c r="B42" s="71"/>
      <c r="C42" s="64"/>
    </row>
    <row r="43" spans="1:3" ht="12.95" customHeight="1" x14ac:dyDescent="0.2">
      <c r="A43" s="63" t="s">
        <v>55</v>
      </c>
      <c r="B43" s="71"/>
      <c r="C43" s="64"/>
    </row>
    <row r="44" spans="1:3" ht="12.95" customHeight="1" x14ac:dyDescent="0.2">
      <c r="A44" s="65"/>
      <c r="B44" s="72" t="s">
        <v>103</v>
      </c>
      <c r="C44" s="64"/>
    </row>
    <row r="45" spans="1:3" ht="12.95" customHeight="1" x14ac:dyDescent="0.2">
      <c r="A45" s="65" t="s">
        <v>142</v>
      </c>
      <c r="B45" s="71" t="s">
        <v>108</v>
      </c>
      <c r="C45" s="64"/>
    </row>
    <row r="46" spans="1:3" ht="12.95" customHeight="1" x14ac:dyDescent="0.2">
      <c r="A46" s="65" t="s">
        <v>143</v>
      </c>
      <c r="B46" s="71" t="s">
        <v>108</v>
      </c>
      <c r="C46" s="64"/>
    </row>
    <row r="47" spans="1:3" ht="12.95" customHeight="1" x14ac:dyDescent="0.2">
      <c r="A47" s="65" t="s">
        <v>144</v>
      </c>
      <c r="B47" s="71" t="s">
        <v>108</v>
      </c>
      <c r="C47" s="64"/>
    </row>
    <row r="48" spans="1:3" ht="12.95" customHeight="1" x14ac:dyDescent="0.2">
      <c r="A48" s="65" t="s">
        <v>145</v>
      </c>
      <c r="B48" s="71" t="s">
        <v>108</v>
      </c>
      <c r="C48" s="64"/>
    </row>
    <row r="49" spans="1:3" ht="12.95" customHeight="1" x14ac:dyDescent="0.2">
      <c r="A49" s="65" t="s">
        <v>146</v>
      </c>
      <c r="B49" s="71" t="s">
        <v>106</v>
      </c>
      <c r="C49" s="64"/>
    </row>
    <row r="50" spans="1:3" ht="12.95" customHeight="1" x14ac:dyDescent="0.2">
      <c r="A50" s="65" t="s">
        <v>147</v>
      </c>
      <c r="B50" s="71" t="s">
        <v>106</v>
      </c>
      <c r="C50" s="64"/>
    </row>
    <row r="51" spans="1:3" ht="12.95" customHeight="1" x14ac:dyDescent="0.2">
      <c r="A51" s="65" t="s">
        <v>148</v>
      </c>
      <c r="B51" s="71" t="s">
        <v>108</v>
      </c>
      <c r="C51" s="64"/>
    </row>
    <row r="52" spans="1:3" ht="12.95" customHeight="1" x14ac:dyDescent="0.2">
      <c r="A52" s="65" t="s">
        <v>149</v>
      </c>
      <c r="B52" s="71" t="s">
        <v>108</v>
      </c>
      <c r="C52" s="64"/>
    </row>
    <row r="53" spans="1:3" ht="12.95" customHeight="1" x14ac:dyDescent="0.2">
      <c r="A53" s="65" t="s">
        <v>150</v>
      </c>
      <c r="B53" s="71" t="s">
        <v>108</v>
      </c>
      <c r="C53" s="64"/>
    </row>
    <row r="54" spans="1:3" ht="12.95" customHeight="1" x14ac:dyDescent="0.2">
      <c r="A54" s="65" t="s">
        <v>151</v>
      </c>
      <c r="B54" s="71" t="s">
        <v>108</v>
      </c>
      <c r="C54" s="64"/>
    </row>
    <row r="55" spans="1:3" ht="12.95" customHeight="1" x14ac:dyDescent="0.2">
      <c r="A55" s="65" t="s">
        <v>152</v>
      </c>
      <c r="B55" s="71" t="s">
        <v>106</v>
      </c>
      <c r="C55" s="64"/>
    </row>
    <row r="56" spans="1:3" ht="12.95" customHeight="1" x14ac:dyDescent="0.2">
      <c r="A56" s="65" t="s">
        <v>153</v>
      </c>
      <c r="B56" s="71" t="s">
        <v>106</v>
      </c>
      <c r="C56" s="64"/>
    </row>
    <row r="57" spans="1:3" ht="12.95" customHeight="1" x14ac:dyDescent="0.2">
      <c r="A57" s="65"/>
      <c r="B57" s="71"/>
      <c r="C57" s="64"/>
    </row>
    <row r="58" spans="1:3" ht="12.95" customHeight="1" x14ac:dyDescent="0.2">
      <c r="A58" s="65"/>
      <c r="B58" s="71"/>
      <c r="C58" s="64"/>
    </row>
    <row r="59" spans="1:3" ht="12.95" customHeight="1" x14ac:dyDescent="0.2">
      <c r="A59" s="65" t="s">
        <v>154</v>
      </c>
      <c r="B59" s="71" t="s">
        <v>106</v>
      </c>
      <c r="C59" s="64"/>
    </row>
    <row r="60" spans="1:3" ht="12.95" customHeight="1" x14ac:dyDescent="0.2">
      <c r="A60" s="65" t="s">
        <v>155</v>
      </c>
      <c r="B60" s="71" t="s">
        <v>106</v>
      </c>
      <c r="C60" s="64"/>
    </row>
    <row r="61" spans="1:3" ht="12.95" customHeight="1" x14ac:dyDescent="0.2">
      <c r="A61" s="65" t="s">
        <v>156</v>
      </c>
      <c r="B61" s="71" t="s">
        <v>108</v>
      </c>
      <c r="C61" s="64"/>
    </row>
    <row r="62" spans="1:3" ht="12.95" customHeight="1" x14ac:dyDescent="0.2">
      <c r="A62" s="65" t="s">
        <v>157</v>
      </c>
      <c r="B62" s="71" t="s">
        <v>108</v>
      </c>
      <c r="C62" s="64"/>
    </row>
    <row r="63" spans="1:3" ht="12.95" customHeight="1" x14ac:dyDescent="0.2">
      <c r="A63" s="65" t="s">
        <v>158</v>
      </c>
      <c r="B63" s="71" t="s">
        <v>106</v>
      </c>
      <c r="C63" s="64"/>
    </row>
    <row r="64" spans="1:3" ht="12.95" customHeight="1" x14ac:dyDescent="0.2">
      <c r="A64" s="65" t="s">
        <v>159</v>
      </c>
      <c r="B64" s="71" t="s">
        <v>108</v>
      </c>
      <c r="C64" s="64" t="s">
        <v>160</v>
      </c>
    </row>
    <row r="65" spans="1:3" ht="12.95" customHeight="1" x14ac:dyDescent="0.2">
      <c r="A65" s="65" t="s">
        <v>161</v>
      </c>
      <c r="B65" s="71" t="s">
        <v>108</v>
      </c>
      <c r="C65" s="64"/>
    </row>
    <row r="66" spans="1:3" ht="12.95" customHeight="1" x14ac:dyDescent="0.2">
      <c r="A66" s="65" t="s">
        <v>162</v>
      </c>
      <c r="B66" s="71" t="s">
        <v>108</v>
      </c>
      <c r="C66" s="64" t="s">
        <v>163</v>
      </c>
    </row>
    <row r="67" spans="1:3" ht="12.95" customHeight="1" x14ac:dyDescent="0.2">
      <c r="A67" s="65" t="s">
        <v>164</v>
      </c>
      <c r="B67" s="71" t="s">
        <v>106</v>
      </c>
      <c r="C67" s="64"/>
    </row>
    <row r="68" spans="1:3" ht="12.95" customHeight="1" x14ac:dyDescent="0.2">
      <c r="A68" s="65" t="s">
        <v>165</v>
      </c>
      <c r="B68" s="71" t="s">
        <v>108</v>
      </c>
      <c r="C68" s="64" t="s">
        <v>163</v>
      </c>
    </row>
    <row r="69" spans="1:3" ht="12.95" customHeight="1" x14ac:dyDescent="0.2">
      <c r="A69" s="65" t="s">
        <v>166</v>
      </c>
      <c r="B69" s="71" t="s">
        <v>106</v>
      </c>
      <c r="C69" s="64"/>
    </row>
    <row r="70" spans="1:3" ht="12.95" customHeight="1" x14ac:dyDescent="0.2">
      <c r="A70" s="65" t="s">
        <v>167</v>
      </c>
      <c r="B70" s="71" t="s">
        <v>108</v>
      </c>
      <c r="C70" s="64"/>
    </row>
    <row r="71" spans="1:3" ht="12.95" customHeight="1" x14ac:dyDescent="0.2">
      <c r="A71" s="65" t="s">
        <v>168</v>
      </c>
      <c r="B71" s="71" t="s">
        <v>108</v>
      </c>
      <c r="C71" s="64"/>
    </row>
    <row r="72" spans="1:3" ht="12.95" customHeight="1" x14ac:dyDescent="0.2">
      <c r="A72" s="65" t="s">
        <v>169</v>
      </c>
      <c r="B72" s="71" t="s">
        <v>108</v>
      </c>
      <c r="C72" s="64"/>
    </row>
    <row r="73" spans="1:3" ht="12.95" customHeight="1" x14ac:dyDescent="0.2">
      <c r="A73" s="65" t="s">
        <v>170</v>
      </c>
      <c r="B73" s="71" t="s">
        <v>108</v>
      </c>
      <c r="C73" s="64"/>
    </row>
    <row r="74" spans="1:3" ht="12.95" customHeight="1" x14ac:dyDescent="0.2">
      <c r="A74" s="65" t="s">
        <v>171</v>
      </c>
      <c r="B74" s="71" t="s">
        <v>108</v>
      </c>
      <c r="C74" s="64" t="s">
        <v>172</v>
      </c>
    </row>
    <row r="75" spans="1:3" ht="12.95" customHeight="1" x14ac:dyDescent="0.2">
      <c r="A75" s="65" t="s">
        <v>173</v>
      </c>
      <c r="B75" s="71" t="s">
        <v>108</v>
      </c>
      <c r="C75" s="64"/>
    </row>
    <row r="76" spans="1:3" ht="12.95" customHeight="1" x14ac:dyDescent="0.2">
      <c r="A76" s="65" t="s">
        <v>174</v>
      </c>
      <c r="B76" s="71" t="s">
        <v>108</v>
      </c>
      <c r="C76" s="64"/>
    </row>
    <row r="77" spans="1:3" ht="12.95" customHeight="1" x14ac:dyDescent="0.2">
      <c r="A77" s="65" t="s">
        <v>175</v>
      </c>
      <c r="B77" s="71" t="s">
        <v>108</v>
      </c>
      <c r="C77" s="64" t="s">
        <v>176</v>
      </c>
    </row>
    <row r="78" spans="1:3" ht="12.95" customHeight="1" x14ac:dyDescent="0.2">
      <c r="A78" s="65" t="s">
        <v>177</v>
      </c>
      <c r="B78" s="71" t="s">
        <v>108</v>
      </c>
      <c r="C78" s="64" t="s">
        <v>178</v>
      </c>
    </row>
    <row r="79" spans="1:3" ht="12.95" customHeight="1" x14ac:dyDescent="0.2">
      <c r="A79" s="65" t="s">
        <v>179</v>
      </c>
      <c r="B79" s="71" t="s">
        <v>180</v>
      </c>
      <c r="C79" s="64" t="s">
        <v>176</v>
      </c>
    </row>
    <row r="80" spans="1:3" ht="12.95" customHeight="1" x14ac:dyDescent="0.2">
      <c r="A80" s="65" t="s">
        <v>181</v>
      </c>
      <c r="B80" s="71" t="s">
        <v>108</v>
      </c>
      <c r="C80" s="64" t="s">
        <v>176</v>
      </c>
    </row>
    <row r="81" spans="1:3" s="69" customFormat="1" ht="12.95" customHeight="1" x14ac:dyDescent="0.2">
      <c r="A81" s="67" t="s">
        <v>182</v>
      </c>
      <c r="B81" s="73" t="s">
        <v>108</v>
      </c>
      <c r="C81" s="64" t="s">
        <v>275</v>
      </c>
    </row>
    <row r="82" spans="1:3" ht="12.95" customHeight="1" x14ac:dyDescent="0.2">
      <c r="A82" s="65" t="s">
        <v>183</v>
      </c>
      <c r="B82" s="71" t="s">
        <v>106</v>
      </c>
      <c r="C82" s="64"/>
    </row>
    <row r="83" spans="1:3" ht="12.95" customHeight="1" x14ac:dyDescent="0.2">
      <c r="A83" s="65" t="s">
        <v>184</v>
      </c>
      <c r="B83" s="71" t="s">
        <v>106</v>
      </c>
      <c r="C83" s="64"/>
    </row>
    <row r="84" spans="1:3" ht="12.95" customHeight="1" x14ac:dyDescent="0.2">
      <c r="A84" s="65" t="s">
        <v>185</v>
      </c>
      <c r="B84" s="71" t="s">
        <v>106</v>
      </c>
      <c r="C84" s="64"/>
    </row>
    <row r="85" spans="1:3" ht="12.95" customHeight="1" x14ac:dyDescent="0.2">
      <c r="A85" s="65" t="s">
        <v>186</v>
      </c>
      <c r="B85" s="71" t="s">
        <v>108</v>
      </c>
      <c r="C85" s="64"/>
    </row>
    <row r="86" spans="1:3" ht="12.95" customHeight="1" x14ac:dyDescent="0.2">
      <c r="A86" s="65" t="s">
        <v>187</v>
      </c>
      <c r="B86" s="71" t="s">
        <v>106</v>
      </c>
      <c r="C86" s="64"/>
    </row>
    <row r="87" spans="1:3" ht="12.95" customHeight="1" x14ac:dyDescent="0.2">
      <c r="A87" s="65" t="s">
        <v>188</v>
      </c>
      <c r="B87" s="71" t="s">
        <v>106</v>
      </c>
      <c r="C87" s="64"/>
    </row>
    <row r="88" spans="1:3" ht="12.95" customHeight="1" x14ac:dyDescent="0.2">
      <c r="A88" s="65"/>
      <c r="B88" s="71"/>
      <c r="C88" s="64"/>
    </row>
    <row r="89" spans="1:3" ht="12.95" customHeight="1" x14ac:dyDescent="0.2">
      <c r="A89" s="63" t="s">
        <v>189</v>
      </c>
      <c r="B89" s="71"/>
      <c r="C89" s="64"/>
    </row>
    <row r="90" spans="1:3" ht="12.95" customHeight="1" x14ac:dyDescent="0.2">
      <c r="A90" s="65"/>
      <c r="B90" s="72" t="s">
        <v>103</v>
      </c>
      <c r="C90" s="64"/>
    </row>
    <row r="91" spans="1:3" ht="12.95" customHeight="1" x14ac:dyDescent="0.2">
      <c r="A91" s="65" t="s">
        <v>24</v>
      </c>
      <c r="B91" s="71" t="s">
        <v>106</v>
      </c>
      <c r="C91" s="64"/>
    </row>
    <row r="92" spans="1:3" ht="12.95" customHeight="1" x14ac:dyDescent="0.2">
      <c r="A92" s="65" t="s">
        <v>32</v>
      </c>
      <c r="B92" s="71" t="s">
        <v>106</v>
      </c>
      <c r="C92" s="64"/>
    </row>
    <row r="93" spans="1:3" ht="12.95" customHeight="1" x14ac:dyDescent="0.2">
      <c r="A93" s="65" t="s">
        <v>190</v>
      </c>
      <c r="B93" s="71" t="s">
        <v>106</v>
      </c>
      <c r="C93" s="64"/>
    </row>
    <row r="94" spans="1:3" ht="12.95" customHeight="1" x14ac:dyDescent="0.2">
      <c r="A94" s="65" t="s">
        <v>38</v>
      </c>
      <c r="B94" s="71" t="s">
        <v>106</v>
      </c>
      <c r="C94" s="64"/>
    </row>
    <row r="95" spans="1:3" ht="12.95" customHeight="1" x14ac:dyDescent="0.2">
      <c r="A95" s="65" t="s">
        <v>191</v>
      </c>
      <c r="B95" s="71" t="s">
        <v>106</v>
      </c>
      <c r="C95" s="64"/>
    </row>
    <row r="96" spans="1:3" ht="12.95" customHeight="1" x14ac:dyDescent="0.2">
      <c r="A96" s="65" t="s">
        <v>52</v>
      </c>
      <c r="B96" s="71" t="s">
        <v>106</v>
      </c>
      <c r="C96" s="64"/>
    </row>
    <row r="97" spans="1:3" ht="12.95" customHeight="1" x14ac:dyDescent="0.2">
      <c r="A97" s="65" t="s">
        <v>192</v>
      </c>
      <c r="B97" s="71" t="s">
        <v>106</v>
      </c>
      <c r="C97" s="64"/>
    </row>
    <row r="98" spans="1:3" ht="12.95" customHeight="1" x14ac:dyDescent="0.2">
      <c r="A98" s="65" t="s">
        <v>193</v>
      </c>
      <c r="B98" s="71" t="s">
        <v>108</v>
      </c>
      <c r="C98" s="64" t="s">
        <v>280</v>
      </c>
    </row>
    <row r="99" spans="1:3" ht="12.95" customHeight="1" x14ac:dyDescent="0.2">
      <c r="A99" s="65" t="s">
        <v>194</v>
      </c>
      <c r="B99" s="71" t="s">
        <v>106</v>
      </c>
      <c r="C99" s="64"/>
    </row>
    <row r="100" spans="1:3" ht="12.95" customHeight="1" x14ac:dyDescent="0.2">
      <c r="A100" s="65" t="s">
        <v>195</v>
      </c>
      <c r="B100" s="71" t="s">
        <v>106</v>
      </c>
      <c r="C100" s="64"/>
    </row>
    <row r="101" spans="1:3" ht="12.95" customHeight="1" x14ac:dyDescent="0.2">
      <c r="A101" s="65" t="s">
        <v>196</v>
      </c>
      <c r="B101" s="71" t="s">
        <v>106</v>
      </c>
      <c r="C101" s="64"/>
    </row>
    <row r="102" spans="1:3" ht="12.95" customHeight="1" x14ac:dyDescent="0.2">
      <c r="A102" s="65"/>
      <c r="B102" s="71"/>
      <c r="C102" s="64"/>
    </row>
    <row r="103" spans="1:3" ht="12.95" customHeight="1" x14ac:dyDescent="0.2">
      <c r="A103" s="63" t="s">
        <v>197</v>
      </c>
      <c r="B103" s="71"/>
      <c r="C103" s="64"/>
    </row>
    <row r="104" spans="1:3" ht="12.95" customHeight="1" x14ac:dyDescent="0.2">
      <c r="A104" s="65"/>
      <c r="B104" s="72" t="s">
        <v>103</v>
      </c>
      <c r="C104" s="64"/>
    </row>
    <row r="105" spans="1:3" ht="12.95" customHeight="1" x14ac:dyDescent="0.2">
      <c r="A105" s="65" t="s">
        <v>190</v>
      </c>
      <c r="B105" s="71" t="s">
        <v>106</v>
      </c>
      <c r="C105" s="64"/>
    </row>
    <row r="106" spans="1:3" ht="12.95" customHeight="1" x14ac:dyDescent="0.2">
      <c r="A106" s="65" t="s">
        <v>38</v>
      </c>
      <c r="B106" s="71" t="s">
        <v>106</v>
      </c>
      <c r="C106" s="64"/>
    </row>
    <row r="107" spans="1:3" ht="12.95" customHeight="1" x14ac:dyDescent="0.2">
      <c r="A107" s="65" t="s">
        <v>191</v>
      </c>
      <c r="B107" s="71" t="s">
        <v>106</v>
      </c>
      <c r="C107" s="64"/>
    </row>
    <row r="108" spans="1:3" ht="12.95" customHeight="1" x14ac:dyDescent="0.2">
      <c r="A108" s="65" t="s">
        <v>52</v>
      </c>
      <c r="B108" s="71" t="s">
        <v>106</v>
      </c>
      <c r="C108" s="64"/>
    </row>
    <row r="109" spans="1:3" ht="12.95" customHeight="1" x14ac:dyDescent="0.2">
      <c r="A109" s="65" t="s">
        <v>192</v>
      </c>
      <c r="B109" s="71" t="s">
        <v>106</v>
      </c>
      <c r="C109" s="64"/>
    </row>
    <row r="110" spans="1:3" ht="12.95" customHeight="1" x14ac:dyDescent="0.2">
      <c r="A110" s="65" t="s">
        <v>193</v>
      </c>
      <c r="B110" s="71" t="s">
        <v>108</v>
      </c>
      <c r="C110" s="64" t="s">
        <v>280</v>
      </c>
    </row>
    <row r="111" spans="1:3" ht="12.95" customHeight="1" x14ac:dyDescent="0.2">
      <c r="A111" s="65" t="s">
        <v>194</v>
      </c>
      <c r="B111" s="71" t="s">
        <v>106</v>
      </c>
      <c r="C111" s="64"/>
    </row>
    <row r="112" spans="1:3" ht="12.95" customHeight="1" x14ac:dyDescent="0.2">
      <c r="A112" s="65" t="s">
        <v>195</v>
      </c>
      <c r="B112" s="71" t="s">
        <v>106</v>
      </c>
      <c r="C112" s="64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3585-53C4-4ABF-AB59-68D15892E9B6}">
  <sheetPr>
    <tabColor theme="9" tint="0.39997558519241921"/>
  </sheetPr>
  <dimension ref="B2:N44"/>
  <sheetViews>
    <sheetView workbookViewId="0">
      <selection activeCell="Q11" sqref="Q11"/>
    </sheetView>
  </sheetViews>
  <sheetFormatPr defaultRowHeight="12.75" x14ac:dyDescent="0.2"/>
  <cols>
    <col min="1" max="1" width="2.7109375" style="43" customWidth="1"/>
    <col min="2" max="2" width="10.140625" style="43" customWidth="1"/>
    <col min="3" max="3" width="8.42578125" style="43" customWidth="1"/>
    <col min="4" max="4" width="6.140625" style="43" customWidth="1"/>
    <col min="5" max="5" width="9.140625" style="43"/>
    <col min="6" max="6" width="6" style="43" customWidth="1"/>
    <col min="7" max="7" width="5.140625" style="43" customWidth="1"/>
    <col min="8" max="8" width="8.28515625" style="43" customWidth="1"/>
    <col min="9" max="9" width="9.7109375" style="43" bestFit="1" customWidth="1"/>
    <col min="10" max="10" width="7.28515625" style="43" customWidth="1"/>
    <col min="11" max="11" width="9.140625" style="43" customWidth="1"/>
    <col min="12" max="12" width="2.28515625" style="43" customWidth="1"/>
    <col min="13" max="13" width="2.140625" style="43" hidden="1" customWidth="1"/>
    <col min="14" max="14" width="0" style="43" hidden="1" customWidth="1"/>
    <col min="15" max="15" width="10.42578125" style="43" bestFit="1" customWidth="1"/>
    <col min="16" max="16384" width="9.140625" style="43"/>
  </cols>
  <sheetData>
    <row r="2" spans="2:11" x14ac:dyDescent="0.2">
      <c r="B2" s="275"/>
      <c r="C2" s="275"/>
      <c r="D2" s="275"/>
      <c r="E2" s="275"/>
    </row>
    <row r="3" spans="2:11" ht="18" x14ac:dyDescent="0.25">
      <c r="B3" s="275"/>
      <c r="C3" s="275"/>
      <c r="D3" s="275"/>
      <c r="E3" s="275"/>
      <c r="G3" s="294" t="s">
        <v>230</v>
      </c>
      <c r="H3" s="294"/>
      <c r="I3" s="294"/>
      <c r="J3" s="294"/>
      <c r="K3" s="294"/>
    </row>
    <row r="4" spans="2:11" x14ac:dyDescent="0.2">
      <c r="B4" s="275"/>
      <c r="C4" s="275"/>
      <c r="D4" s="275"/>
      <c r="E4" s="275"/>
    </row>
    <row r="6" spans="2:11" x14ac:dyDescent="0.2">
      <c r="B6" s="261" t="s">
        <v>243</v>
      </c>
      <c r="C6" s="262"/>
      <c r="D6" s="263" t="str">
        <f>'Quantifier Work Req'!D6</f>
        <v>TIRSH</v>
      </c>
      <c r="E6" s="264"/>
      <c r="F6" s="265"/>
      <c r="G6" s="276" t="s">
        <v>248</v>
      </c>
      <c r="H6" s="262"/>
      <c r="I6" s="277">
        <f ca="1">TODAY()</f>
        <v>44817</v>
      </c>
      <c r="J6" s="278"/>
      <c r="K6" s="279"/>
    </row>
    <row r="8" spans="2:11" x14ac:dyDescent="0.2">
      <c r="B8" s="261" t="s">
        <v>244</v>
      </c>
      <c r="C8" s="262"/>
      <c r="D8" s="263">
        <f>'Quantifier Work Req'!E3</f>
        <v>88888888</v>
      </c>
      <c r="E8" s="264"/>
      <c r="F8" s="265"/>
      <c r="G8" s="276" t="s">
        <v>249</v>
      </c>
      <c r="H8" s="262"/>
      <c r="I8" s="277">
        <f ca="1">I6+10</f>
        <v>44827</v>
      </c>
      <c r="J8" s="278"/>
      <c r="K8" s="279"/>
    </row>
    <row r="10" spans="2:11" x14ac:dyDescent="0.2">
      <c r="B10" s="261" t="s">
        <v>245</v>
      </c>
      <c r="C10" s="262"/>
      <c r="D10" s="288" t="str">
        <f>'Quantifier Work Req'!R6</f>
        <v>131 Diana Drive, Glenfield</v>
      </c>
      <c r="E10" s="289"/>
      <c r="F10" s="290"/>
      <c r="G10" s="276" t="s">
        <v>250</v>
      </c>
      <c r="H10" s="261"/>
      <c r="I10" s="263" t="str">
        <f>D6</f>
        <v>TIRSH</v>
      </c>
      <c r="J10" s="264"/>
      <c r="K10" s="265"/>
    </row>
    <row r="12" spans="2:11" x14ac:dyDescent="0.2">
      <c r="G12" s="261" t="s">
        <v>251</v>
      </c>
      <c r="H12" s="262"/>
      <c r="I12" s="288" t="str">
        <f>'Quantifier Work Req'!E7</f>
        <v>quotes@hillsideitm.co.nz</v>
      </c>
      <c r="J12" s="289"/>
      <c r="K12" s="290"/>
    </row>
    <row r="14" spans="2:11" x14ac:dyDescent="0.2">
      <c r="G14" s="261" t="s">
        <v>252</v>
      </c>
      <c r="H14" s="262"/>
      <c r="I14" s="263">
        <f>D8</f>
        <v>88888888</v>
      </c>
      <c r="J14" s="264"/>
      <c r="K14" s="265"/>
    </row>
    <row r="16" spans="2:11" x14ac:dyDescent="0.2">
      <c r="B16" s="261" t="s">
        <v>246</v>
      </c>
      <c r="C16" s="262"/>
      <c r="D16" s="263" t="str">
        <f>'Quantifier Work Req'!E4</f>
        <v>Aaron</v>
      </c>
      <c r="E16" s="264"/>
      <c r="F16" s="265"/>
    </row>
    <row r="18" spans="2:11" x14ac:dyDescent="0.2">
      <c r="B18" s="261" t="s">
        <v>247</v>
      </c>
      <c r="C18" s="262"/>
      <c r="D18" s="263" t="str">
        <f>D16</f>
        <v>Aaron</v>
      </c>
      <c r="E18" s="264"/>
      <c r="F18" s="265"/>
    </row>
    <row r="20" spans="2:11" x14ac:dyDescent="0.2">
      <c r="B20" s="287" t="s">
        <v>231</v>
      </c>
      <c r="C20" s="287"/>
      <c r="D20" s="287"/>
      <c r="E20" s="287"/>
      <c r="F20" s="287"/>
      <c r="G20" s="287"/>
      <c r="H20" s="287"/>
      <c r="I20" s="287"/>
      <c r="J20" s="287"/>
      <c r="K20" s="287"/>
    </row>
    <row r="21" spans="2:11" ht="8.25" customHeight="1" x14ac:dyDescent="0.2"/>
    <row r="22" spans="2:11" ht="12.75" customHeight="1" x14ac:dyDescent="0.2">
      <c r="C22" s="293" t="s">
        <v>232</v>
      </c>
      <c r="D22" s="293"/>
      <c r="E22" s="293"/>
      <c r="F22" s="293"/>
      <c r="H22" s="293" t="s">
        <v>234</v>
      </c>
      <c r="I22" s="293"/>
      <c r="J22" s="293"/>
      <c r="K22" s="42" t="s">
        <v>233</v>
      </c>
    </row>
    <row r="23" spans="2:11" x14ac:dyDescent="0.2">
      <c r="C23" s="41"/>
      <c r="G23" s="41"/>
      <c r="K23" s="41"/>
    </row>
    <row r="24" spans="2:11" x14ac:dyDescent="0.2">
      <c r="C24" s="48" t="s">
        <v>235</v>
      </c>
      <c r="D24" s="48" t="s">
        <v>236</v>
      </c>
      <c r="E24" s="299" t="s">
        <v>237</v>
      </c>
      <c r="F24" s="300"/>
      <c r="I24" s="44" t="s">
        <v>235</v>
      </c>
      <c r="J24" s="44" t="s">
        <v>236</v>
      </c>
    </row>
    <row r="25" spans="2:11" x14ac:dyDescent="0.2">
      <c r="B25" s="49" t="s">
        <v>241</v>
      </c>
      <c r="C25" s="46" t="s">
        <v>108</v>
      </c>
      <c r="D25" s="46"/>
      <c r="E25" s="291"/>
      <c r="F25" s="292"/>
      <c r="H25" s="43" t="s">
        <v>253</v>
      </c>
      <c r="I25" s="46" t="s">
        <v>108</v>
      </c>
      <c r="J25" s="46"/>
    </row>
    <row r="26" spans="2:11" x14ac:dyDescent="0.2">
      <c r="B26" s="49" t="s">
        <v>242</v>
      </c>
      <c r="C26" s="46" t="s">
        <v>108</v>
      </c>
      <c r="D26" s="46"/>
      <c r="E26" s="291"/>
      <c r="F26" s="292"/>
      <c r="H26" s="43" t="s">
        <v>142</v>
      </c>
      <c r="I26" s="46"/>
      <c r="J26" s="46" t="s">
        <v>108</v>
      </c>
    </row>
    <row r="27" spans="2:11" x14ac:dyDescent="0.2">
      <c r="B27" s="49" t="s">
        <v>70</v>
      </c>
      <c r="C27" s="46"/>
      <c r="D27" s="46" t="s">
        <v>108</v>
      </c>
      <c r="E27" s="291"/>
      <c r="F27" s="292"/>
      <c r="H27" s="45"/>
    </row>
    <row r="29" spans="2:11" x14ac:dyDescent="0.2">
      <c r="B29" s="43" t="s">
        <v>104</v>
      </c>
      <c r="C29" s="296"/>
      <c r="D29" s="297"/>
      <c r="E29" s="297"/>
      <c r="F29" s="297"/>
      <c r="G29" s="297"/>
      <c r="H29" s="297"/>
      <c r="I29" s="297"/>
      <c r="J29" s="297"/>
      <c r="K29" s="298"/>
    </row>
    <row r="30" spans="2:11" x14ac:dyDescent="0.2">
      <c r="C30" s="296"/>
      <c r="D30" s="297"/>
      <c r="E30" s="297"/>
      <c r="F30" s="297"/>
      <c r="G30" s="297"/>
      <c r="H30" s="297"/>
      <c r="I30" s="297"/>
      <c r="J30" s="297"/>
      <c r="K30" s="298"/>
    </row>
    <row r="32" spans="2:11" ht="15" customHeight="1" x14ac:dyDescent="0.2">
      <c r="B32" s="287" t="s">
        <v>257</v>
      </c>
      <c r="C32" s="287"/>
      <c r="D32" s="287"/>
      <c r="E32" s="287"/>
      <c r="F32" s="287"/>
      <c r="G32" s="287"/>
      <c r="H32" s="287"/>
      <c r="I32" s="287"/>
      <c r="J32" s="287"/>
      <c r="K32" s="287"/>
    </row>
    <row r="34" spans="2:14" x14ac:dyDescent="0.2">
      <c r="D34" s="47" t="s">
        <v>238</v>
      </c>
    </row>
    <row r="35" spans="2:14" x14ac:dyDescent="0.2">
      <c r="B35" s="275" t="s">
        <v>254</v>
      </c>
      <c r="C35" s="275"/>
      <c r="D35" s="46"/>
      <c r="E35" s="45" t="s">
        <v>104</v>
      </c>
      <c r="F35" s="295"/>
      <c r="G35" s="295"/>
      <c r="H35" s="295"/>
      <c r="I35" s="295"/>
      <c r="J35" s="295"/>
      <c r="K35" s="295"/>
    </row>
    <row r="36" spans="2:14" x14ac:dyDescent="0.2">
      <c r="B36" s="275" t="s">
        <v>253</v>
      </c>
      <c r="C36" s="275"/>
      <c r="D36" s="46" t="s">
        <v>108</v>
      </c>
      <c r="F36" s="295"/>
      <c r="G36" s="295"/>
      <c r="H36" s="295"/>
      <c r="I36" s="295"/>
      <c r="J36" s="295"/>
      <c r="K36" s="295"/>
      <c r="M36" s="43" t="s">
        <v>108</v>
      </c>
    </row>
    <row r="37" spans="2:14" x14ac:dyDescent="0.2">
      <c r="B37" s="275" t="s">
        <v>255</v>
      </c>
      <c r="C37" s="275"/>
      <c r="D37" s="46"/>
      <c r="F37" s="295"/>
      <c r="G37" s="295"/>
      <c r="H37" s="295"/>
      <c r="I37" s="295"/>
      <c r="J37" s="295"/>
      <c r="K37" s="295"/>
      <c r="M37" s="43" t="s">
        <v>106</v>
      </c>
    </row>
    <row r="38" spans="2:14" x14ac:dyDescent="0.2">
      <c r="B38" s="275" t="s">
        <v>256</v>
      </c>
      <c r="C38" s="275"/>
      <c r="D38" s="46"/>
      <c r="F38" s="295"/>
      <c r="G38" s="295"/>
      <c r="H38" s="295"/>
      <c r="I38" s="295"/>
      <c r="J38" s="295"/>
      <c r="K38" s="295"/>
    </row>
    <row r="40" spans="2:14" ht="15" x14ac:dyDescent="0.25">
      <c r="B40" s="275" t="s">
        <v>116</v>
      </c>
      <c r="C40" s="301"/>
      <c r="D40" s="46" t="s">
        <v>106</v>
      </c>
      <c r="E40" s="266" t="s">
        <v>264</v>
      </c>
      <c r="F40" s="169"/>
      <c r="G40" s="169"/>
      <c r="H40" s="169"/>
      <c r="I40" s="169"/>
      <c r="J40" s="169"/>
      <c r="K40" s="169"/>
      <c r="N40" s="43" t="str">
        <f>D40</f>
        <v>N</v>
      </c>
    </row>
    <row r="41" spans="2:14" ht="15" x14ac:dyDescent="0.25">
      <c r="B41" s="275" t="s">
        <v>118</v>
      </c>
      <c r="C41" s="301"/>
      <c r="D41" s="46" t="s">
        <v>108</v>
      </c>
      <c r="E41" s="266" t="s">
        <v>264</v>
      </c>
      <c r="F41" s="169"/>
      <c r="G41" s="169"/>
      <c r="H41" s="169"/>
      <c r="I41" s="169"/>
      <c r="J41" s="169"/>
      <c r="K41" s="169"/>
      <c r="N41" s="43" t="str">
        <f t="shared" ref="N41:N43" si="0">D41</f>
        <v>Y</v>
      </c>
    </row>
    <row r="42" spans="2:14" ht="15" x14ac:dyDescent="0.25">
      <c r="B42" s="275" t="s">
        <v>193</v>
      </c>
      <c r="C42" s="301"/>
      <c r="D42" s="46" t="s">
        <v>108</v>
      </c>
      <c r="E42" s="266" t="s">
        <v>264</v>
      </c>
      <c r="F42" s="169"/>
      <c r="G42" s="169"/>
      <c r="H42" s="169"/>
      <c r="I42" s="169"/>
      <c r="J42" s="169"/>
      <c r="K42" s="169"/>
      <c r="N42" s="43" t="str">
        <f t="shared" si="0"/>
        <v>Y</v>
      </c>
    </row>
    <row r="43" spans="2:14" ht="15" x14ac:dyDescent="0.25">
      <c r="B43" s="275" t="s">
        <v>262</v>
      </c>
      <c r="C43" s="301"/>
      <c r="D43" s="46" t="s">
        <v>108</v>
      </c>
      <c r="E43" s="266" t="s">
        <v>265</v>
      </c>
      <c r="F43" s="169"/>
      <c r="G43" s="169"/>
      <c r="H43" s="169"/>
      <c r="I43" s="169"/>
      <c r="J43" s="169"/>
      <c r="K43" s="169"/>
      <c r="N43" s="43" t="str">
        <f t="shared" si="0"/>
        <v>Y</v>
      </c>
    </row>
    <row r="44" spans="2:14" ht="15" x14ac:dyDescent="0.25">
      <c r="B44" s="275" t="s">
        <v>263</v>
      </c>
      <c r="C44" s="301"/>
      <c r="D44" s="46" t="s">
        <v>108</v>
      </c>
      <c r="E44" s="266" t="s">
        <v>266</v>
      </c>
      <c r="F44" s="169"/>
      <c r="G44" s="169"/>
      <c r="H44" s="169"/>
      <c r="I44" s="169"/>
      <c r="J44" s="169"/>
      <c r="K44" s="169"/>
      <c r="N44" s="43" t="str">
        <f>D44</f>
        <v>Y</v>
      </c>
    </row>
  </sheetData>
  <mergeCells count="50">
    <mergeCell ref="E41:K41"/>
    <mergeCell ref="E42:K42"/>
    <mergeCell ref="E43:K43"/>
    <mergeCell ref="E44:K44"/>
    <mergeCell ref="B40:C40"/>
    <mergeCell ref="B41:C41"/>
    <mergeCell ref="B42:C42"/>
    <mergeCell ref="B43:C43"/>
    <mergeCell ref="B44:C44"/>
    <mergeCell ref="G3:K3"/>
    <mergeCell ref="B2:E4"/>
    <mergeCell ref="E40:K40"/>
    <mergeCell ref="B35:C35"/>
    <mergeCell ref="B36:C36"/>
    <mergeCell ref="B37:C37"/>
    <mergeCell ref="B38:C38"/>
    <mergeCell ref="F35:K35"/>
    <mergeCell ref="F36:K36"/>
    <mergeCell ref="F37:K37"/>
    <mergeCell ref="F38:K38"/>
    <mergeCell ref="C29:K29"/>
    <mergeCell ref="C30:K30"/>
    <mergeCell ref="B32:K32"/>
    <mergeCell ref="H22:J22"/>
    <mergeCell ref="E24:F24"/>
    <mergeCell ref="E25:F25"/>
    <mergeCell ref="E26:F26"/>
    <mergeCell ref="E27:F27"/>
    <mergeCell ref="G6:H6"/>
    <mergeCell ref="G8:H8"/>
    <mergeCell ref="G10:H10"/>
    <mergeCell ref="G12:H12"/>
    <mergeCell ref="G14:H14"/>
    <mergeCell ref="C22:F22"/>
    <mergeCell ref="I10:K10"/>
    <mergeCell ref="I8:K8"/>
    <mergeCell ref="I6:K6"/>
    <mergeCell ref="I14:K14"/>
    <mergeCell ref="B20:K20"/>
    <mergeCell ref="B6:C6"/>
    <mergeCell ref="B8:C8"/>
    <mergeCell ref="B10:C10"/>
    <mergeCell ref="B16:C16"/>
    <mergeCell ref="B18:C18"/>
    <mergeCell ref="D16:F16"/>
    <mergeCell ref="D18:F18"/>
    <mergeCell ref="I12:K12"/>
    <mergeCell ref="D10:F10"/>
    <mergeCell ref="D6:F6"/>
    <mergeCell ref="D8:F8"/>
  </mergeCells>
  <dataValidations count="1">
    <dataValidation type="list" allowBlank="1" showInputMessage="1" showErrorMessage="1" sqref="D35:D38 C25:F27 I25:J26 D40:D44" xr:uid="{530E64C5-9528-4941-B951-9570A5BA6E7A}">
      <formula1>$M$35:$M$37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D1EB5-DC28-43B0-BEAC-4A6CC5EC0FEF}">
  <sheetPr>
    <tabColor theme="9" tint="0.39997558519241921"/>
  </sheetPr>
  <dimension ref="A1:E113"/>
  <sheetViews>
    <sheetView topLeftCell="A4" workbookViewId="0">
      <selection activeCell="A19" sqref="A19"/>
    </sheetView>
  </sheetViews>
  <sheetFormatPr defaultColWidth="8.85546875" defaultRowHeight="15" x14ac:dyDescent="0.25"/>
  <cols>
    <col min="1" max="1" width="55.42578125" customWidth="1"/>
    <col min="2" max="2" width="5" bestFit="1" customWidth="1"/>
    <col min="3" max="3" width="5.140625" bestFit="1" customWidth="1"/>
    <col min="4" max="4" width="35.5703125" customWidth="1"/>
    <col min="5" max="5" width="10.7109375" bestFit="1" customWidth="1"/>
  </cols>
  <sheetData>
    <row r="1" spans="1:5" ht="57.75" customHeight="1" x14ac:dyDescent="0.25">
      <c r="A1" s="302" t="s">
        <v>198</v>
      </c>
      <c r="B1" s="303"/>
      <c r="C1" s="303"/>
      <c r="D1" s="304"/>
    </row>
    <row r="2" spans="1:5" x14ac:dyDescent="0.25">
      <c r="A2" s="11"/>
      <c r="D2" s="12"/>
    </row>
    <row r="3" spans="1:5" ht="21" x14ac:dyDescent="0.35">
      <c r="A3" s="13" t="s">
        <v>98</v>
      </c>
      <c r="D3" s="50" t="str">
        <f>'Quantifier Work Req'!D6</f>
        <v>TIRSH</v>
      </c>
    </row>
    <row r="4" spans="1:5" ht="21" x14ac:dyDescent="0.35">
      <c r="A4" s="14" t="s">
        <v>100</v>
      </c>
      <c r="D4" s="51" t="str">
        <f>'Quantifier Work Req'!R3</f>
        <v>Hillside Template</v>
      </c>
    </row>
    <row r="5" spans="1:5" ht="21" x14ac:dyDescent="0.25">
      <c r="A5" s="15" t="s">
        <v>101</v>
      </c>
      <c r="D5" s="53">
        <f ca="1">E5+1</f>
        <v>44828</v>
      </c>
      <c r="E5" s="52">
        <f ca="1">'NTML PN'!I8</f>
        <v>44827</v>
      </c>
    </row>
    <row r="6" spans="1:5" x14ac:dyDescent="0.25">
      <c r="A6" s="11"/>
      <c r="D6" s="12"/>
    </row>
    <row r="7" spans="1:5" x14ac:dyDescent="0.25">
      <c r="A7" s="16" t="s">
        <v>102</v>
      </c>
      <c r="B7" s="17"/>
      <c r="C7" s="55"/>
      <c r="D7" s="18"/>
    </row>
    <row r="8" spans="1:5" x14ac:dyDescent="0.25">
      <c r="A8" s="19"/>
      <c r="B8" s="20" t="s">
        <v>103</v>
      </c>
      <c r="C8" s="54"/>
      <c r="D8" s="21" t="s">
        <v>104</v>
      </c>
    </row>
    <row r="9" spans="1:5" x14ac:dyDescent="0.25">
      <c r="A9" s="19" t="s">
        <v>105</v>
      </c>
      <c r="B9" s="17" t="s">
        <v>106</v>
      </c>
      <c r="C9" s="55"/>
      <c r="D9" s="18"/>
    </row>
    <row r="10" spans="1:5" x14ac:dyDescent="0.25">
      <c r="A10" s="19" t="s">
        <v>107</v>
      </c>
      <c r="B10" s="29"/>
      <c r="C10" s="55"/>
      <c r="D10" s="18"/>
    </row>
    <row r="11" spans="1:5" x14ac:dyDescent="0.25">
      <c r="A11" s="19" t="s">
        <v>109</v>
      </c>
      <c r="B11" s="17" t="s">
        <v>106</v>
      </c>
      <c r="C11" s="55"/>
      <c r="D11" s="18"/>
    </row>
    <row r="12" spans="1:5" x14ac:dyDescent="0.25">
      <c r="A12" s="19" t="s">
        <v>110</v>
      </c>
      <c r="B12" s="17" t="s">
        <v>106</v>
      </c>
      <c r="C12" s="55"/>
      <c r="D12" s="18"/>
    </row>
    <row r="13" spans="1:5" x14ac:dyDescent="0.25">
      <c r="A13" s="19" t="s">
        <v>111</v>
      </c>
      <c r="B13" s="17" t="s">
        <v>108</v>
      </c>
      <c r="C13" s="55"/>
      <c r="D13" s="18"/>
    </row>
    <row r="14" spans="1:5" x14ac:dyDescent="0.25">
      <c r="A14" s="19" t="s">
        <v>113</v>
      </c>
      <c r="B14" s="17" t="s">
        <v>106</v>
      </c>
      <c r="C14" s="55"/>
      <c r="D14" s="18"/>
    </row>
    <row r="15" spans="1:5" x14ac:dyDescent="0.25">
      <c r="A15" s="19" t="s">
        <v>114</v>
      </c>
      <c r="B15" s="17" t="s">
        <v>106</v>
      </c>
      <c r="C15" s="55"/>
      <c r="D15" s="18"/>
    </row>
    <row r="16" spans="1:5" x14ac:dyDescent="0.25">
      <c r="A16" s="19" t="s">
        <v>115</v>
      </c>
      <c r="B16" s="17" t="s">
        <v>106</v>
      </c>
      <c r="C16" s="55"/>
      <c r="D16" s="18"/>
    </row>
    <row r="17" spans="1:4" x14ac:dyDescent="0.25">
      <c r="A17" s="19" t="s">
        <v>116</v>
      </c>
      <c r="B17" s="17" t="s">
        <v>106</v>
      </c>
      <c r="C17" s="58" t="str">
        <f>'NTML PN'!N40</f>
        <v>N</v>
      </c>
      <c r="D17" s="18" t="s">
        <v>258</v>
      </c>
    </row>
    <row r="18" spans="1:4" x14ac:dyDescent="0.25">
      <c r="A18" s="19" t="s">
        <v>117</v>
      </c>
      <c r="B18" s="17" t="s">
        <v>108</v>
      </c>
      <c r="C18" s="55"/>
      <c r="D18" s="18"/>
    </row>
    <row r="19" spans="1:4" x14ac:dyDescent="0.25">
      <c r="A19" s="19" t="s">
        <v>118</v>
      </c>
      <c r="B19" s="17" t="s">
        <v>106</v>
      </c>
      <c r="C19" s="58" t="str">
        <f>'NTML PN'!D41</f>
        <v>Y</v>
      </c>
      <c r="D19" s="18" t="s">
        <v>258</v>
      </c>
    </row>
    <row r="20" spans="1:4" x14ac:dyDescent="0.25">
      <c r="A20" s="19" t="s">
        <v>119</v>
      </c>
      <c r="B20" s="17" t="s">
        <v>108</v>
      </c>
      <c r="C20" s="55"/>
      <c r="D20" s="18"/>
    </row>
    <row r="21" spans="1:4" x14ac:dyDescent="0.25">
      <c r="A21" s="19" t="s">
        <v>120</v>
      </c>
      <c r="B21" s="17" t="s">
        <v>106</v>
      </c>
      <c r="C21" s="55"/>
      <c r="D21" s="18"/>
    </row>
    <row r="22" spans="1:4" x14ac:dyDescent="0.25">
      <c r="A22" s="19" t="s">
        <v>122</v>
      </c>
      <c r="B22" s="17" t="s">
        <v>106</v>
      </c>
      <c r="C22" s="55"/>
      <c r="D22" s="18"/>
    </row>
    <row r="23" spans="1:4" x14ac:dyDescent="0.25">
      <c r="A23" s="19" t="s">
        <v>123</v>
      </c>
      <c r="B23" s="17" t="s">
        <v>106</v>
      </c>
      <c r="C23" s="55"/>
      <c r="D23" s="18"/>
    </row>
    <row r="24" spans="1:4" x14ac:dyDescent="0.25">
      <c r="A24" s="19" t="s">
        <v>124</v>
      </c>
      <c r="B24" s="29"/>
      <c r="C24" s="55"/>
      <c r="D24" s="18"/>
    </row>
    <row r="25" spans="1:4" x14ac:dyDescent="0.25">
      <c r="A25" s="19" t="s">
        <v>125</v>
      </c>
      <c r="B25" s="17" t="s">
        <v>106</v>
      </c>
      <c r="C25" s="55"/>
      <c r="D25" s="18"/>
    </row>
    <row r="26" spans="1:4" x14ac:dyDescent="0.25">
      <c r="A26" s="19" t="s">
        <v>126</v>
      </c>
      <c r="B26" s="29"/>
      <c r="C26" s="55"/>
      <c r="D26" s="18"/>
    </row>
    <row r="27" spans="1:4" x14ac:dyDescent="0.25">
      <c r="A27" s="19" t="s">
        <v>128</v>
      </c>
      <c r="B27" s="17" t="s">
        <v>106</v>
      </c>
      <c r="C27" s="55"/>
      <c r="D27" s="18"/>
    </row>
    <row r="28" spans="1:4" x14ac:dyDescent="0.25">
      <c r="A28" s="19" t="s">
        <v>129</v>
      </c>
      <c r="B28" t="s">
        <v>106</v>
      </c>
      <c r="C28" s="55"/>
      <c r="D28" s="18"/>
    </row>
    <row r="29" spans="1:4" s="25" customFormat="1" x14ac:dyDescent="0.25">
      <c r="A29" s="22" t="s">
        <v>130</v>
      </c>
      <c r="B29" s="23" t="s">
        <v>108</v>
      </c>
      <c r="C29" s="58" t="str">
        <f>'NTML PN'!D44</f>
        <v>Y</v>
      </c>
      <c r="D29" s="24" t="s">
        <v>260</v>
      </c>
    </row>
    <row r="30" spans="1:4" s="25" customFormat="1" x14ac:dyDescent="0.25">
      <c r="A30" s="22" t="s">
        <v>131</v>
      </c>
      <c r="B30" s="23" t="s">
        <v>108</v>
      </c>
      <c r="C30" s="55"/>
      <c r="D30" s="24"/>
    </row>
    <row r="31" spans="1:4" x14ac:dyDescent="0.25">
      <c r="A31" s="19" t="s">
        <v>133</v>
      </c>
      <c r="B31" s="17" t="s">
        <v>108</v>
      </c>
      <c r="C31" s="55"/>
      <c r="D31" s="18"/>
    </row>
    <row r="32" spans="1:4" x14ac:dyDescent="0.25">
      <c r="A32" s="19" t="s">
        <v>199</v>
      </c>
      <c r="B32" s="17" t="s">
        <v>108</v>
      </c>
      <c r="C32" s="55"/>
      <c r="D32" s="18"/>
    </row>
    <row r="33" spans="1:4" x14ac:dyDescent="0.25">
      <c r="A33" s="16" t="s">
        <v>134</v>
      </c>
      <c r="B33" s="17"/>
      <c r="C33" s="55"/>
      <c r="D33" s="18"/>
    </row>
    <row r="34" spans="1:4" x14ac:dyDescent="0.25">
      <c r="A34" s="19"/>
      <c r="B34" s="20" t="s">
        <v>103</v>
      </c>
      <c r="C34" s="54"/>
      <c r="D34" s="18"/>
    </row>
    <row r="35" spans="1:4" x14ac:dyDescent="0.25">
      <c r="A35" s="19" t="s">
        <v>135</v>
      </c>
      <c r="B35" s="17" t="s">
        <v>108</v>
      </c>
      <c r="C35" s="55"/>
      <c r="D35" s="18"/>
    </row>
    <row r="36" spans="1:4" x14ac:dyDescent="0.25">
      <c r="A36" s="19" t="s">
        <v>136</v>
      </c>
      <c r="B36" s="17" t="s">
        <v>106</v>
      </c>
      <c r="C36" s="55"/>
      <c r="D36" s="18"/>
    </row>
    <row r="37" spans="1:4" x14ac:dyDescent="0.25">
      <c r="A37" s="19" t="s">
        <v>137</v>
      </c>
      <c r="B37" s="17" t="s">
        <v>106</v>
      </c>
      <c r="C37" s="55"/>
      <c r="D37" s="18"/>
    </row>
    <row r="38" spans="1:4" x14ac:dyDescent="0.25">
      <c r="A38" s="19" t="s">
        <v>138</v>
      </c>
      <c r="B38" s="17" t="s">
        <v>106</v>
      </c>
      <c r="C38" s="55"/>
      <c r="D38" s="18"/>
    </row>
    <row r="39" spans="1:4" x14ac:dyDescent="0.25">
      <c r="A39" s="19" t="s">
        <v>139</v>
      </c>
      <c r="B39" s="17" t="s">
        <v>108</v>
      </c>
      <c r="C39" s="58" t="str">
        <f>'NTML PN'!D43</f>
        <v>Y</v>
      </c>
      <c r="D39" s="18" t="s">
        <v>259</v>
      </c>
    </row>
    <row r="40" spans="1:4" x14ac:dyDescent="0.25">
      <c r="A40" s="19" t="s">
        <v>140</v>
      </c>
      <c r="B40" s="17" t="s">
        <v>106</v>
      </c>
      <c r="C40" s="55"/>
      <c r="D40" s="18"/>
    </row>
    <row r="41" spans="1:4" x14ac:dyDescent="0.25">
      <c r="A41" s="19" t="s">
        <v>141</v>
      </c>
      <c r="B41" s="17" t="s">
        <v>106</v>
      </c>
      <c r="C41" s="55"/>
      <c r="D41" s="18"/>
    </row>
    <row r="42" spans="1:4" x14ac:dyDescent="0.25">
      <c r="A42" s="19"/>
      <c r="B42" s="17"/>
      <c r="C42" s="55"/>
      <c r="D42" s="18"/>
    </row>
    <row r="43" spans="1:4" x14ac:dyDescent="0.25">
      <c r="A43" s="16" t="s">
        <v>55</v>
      </c>
      <c r="B43" s="17"/>
      <c r="C43" s="55"/>
      <c r="D43" s="18"/>
    </row>
    <row r="44" spans="1:4" x14ac:dyDescent="0.25">
      <c r="A44" s="19"/>
      <c r="B44" s="20" t="s">
        <v>103</v>
      </c>
      <c r="C44" s="54"/>
      <c r="D44" s="18"/>
    </row>
    <row r="45" spans="1:4" x14ac:dyDescent="0.25">
      <c r="A45" s="19" t="s">
        <v>142</v>
      </c>
      <c r="B45" s="17" t="s">
        <v>108</v>
      </c>
      <c r="C45" s="55"/>
      <c r="D45" s="18"/>
    </row>
    <row r="46" spans="1:4" x14ac:dyDescent="0.25">
      <c r="A46" s="19" t="s">
        <v>143</v>
      </c>
      <c r="B46" s="17" t="s">
        <v>108</v>
      </c>
      <c r="C46" s="55"/>
      <c r="D46" s="18"/>
    </row>
    <row r="47" spans="1:4" x14ac:dyDescent="0.25">
      <c r="A47" s="19" t="s">
        <v>144</v>
      </c>
      <c r="B47" s="17" t="s">
        <v>108</v>
      </c>
      <c r="C47" s="55"/>
      <c r="D47" s="18"/>
    </row>
    <row r="48" spans="1:4" x14ac:dyDescent="0.25">
      <c r="A48" s="19" t="s">
        <v>145</v>
      </c>
      <c r="B48" s="17" t="s">
        <v>106</v>
      </c>
      <c r="C48" s="55"/>
      <c r="D48" s="18"/>
    </row>
    <row r="49" spans="1:4" x14ac:dyDescent="0.25">
      <c r="A49" s="19" t="s">
        <v>146</v>
      </c>
      <c r="B49" s="17" t="s">
        <v>108</v>
      </c>
      <c r="C49" s="55"/>
      <c r="D49" s="18"/>
    </row>
    <row r="50" spans="1:4" x14ac:dyDescent="0.25">
      <c r="A50" s="19" t="s">
        <v>147</v>
      </c>
      <c r="B50" s="17" t="s">
        <v>106</v>
      </c>
      <c r="C50" s="55"/>
      <c r="D50" s="18"/>
    </row>
    <row r="51" spans="1:4" x14ac:dyDescent="0.25">
      <c r="A51" s="19" t="s">
        <v>148</v>
      </c>
      <c r="B51" s="29"/>
      <c r="C51" s="55"/>
      <c r="D51" s="18"/>
    </row>
    <row r="52" spans="1:4" x14ac:dyDescent="0.25">
      <c r="A52" s="19" t="s">
        <v>149</v>
      </c>
      <c r="B52" s="17" t="s">
        <v>106</v>
      </c>
      <c r="C52" s="55"/>
      <c r="D52" s="18"/>
    </row>
    <row r="53" spans="1:4" x14ac:dyDescent="0.25">
      <c r="A53" s="19" t="s">
        <v>150</v>
      </c>
      <c r="B53" s="17" t="s">
        <v>108</v>
      </c>
      <c r="C53" s="55"/>
      <c r="D53" s="18"/>
    </row>
    <row r="54" spans="1:4" x14ac:dyDescent="0.25">
      <c r="A54" s="19" t="s">
        <v>151</v>
      </c>
      <c r="B54" s="17" t="s">
        <v>108</v>
      </c>
      <c r="C54" s="55"/>
      <c r="D54" s="18"/>
    </row>
    <row r="55" spans="1:4" x14ac:dyDescent="0.25">
      <c r="A55" s="19" t="s">
        <v>152</v>
      </c>
      <c r="B55" s="17" t="s">
        <v>106</v>
      </c>
      <c r="C55" s="55"/>
      <c r="D55" s="18"/>
    </row>
    <row r="56" spans="1:4" x14ac:dyDescent="0.25">
      <c r="A56" s="19" t="s">
        <v>153</v>
      </c>
      <c r="B56" s="17" t="s">
        <v>106</v>
      </c>
      <c r="C56" s="55"/>
      <c r="D56" s="18"/>
    </row>
    <row r="57" spans="1:4" x14ac:dyDescent="0.25">
      <c r="A57" s="19" t="s">
        <v>154</v>
      </c>
      <c r="B57" s="29"/>
      <c r="C57" s="55"/>
      <c r="D57" s="18"/>
    </row>
    <row r="58" spans="1:4" x14ac:dyDescent="0.25">
      <c r="A58" s="19" t="s">
        <v>155</v>
      </c>
      <c r="B58" s="17" t="s">
        <v>106</v>
      </c>
      <c r="C58" s="55"/>
      <c r="D58" s="18"/>
    </row>
    <row r="59" spans="1:4" x14ac:dyDescent="0.25">
      <c r="A59" s="19" t="s">
        <v>156</v>
      </c>
      <c r="B59" s="17" t="s">
        <v>108</v>
      </c>
      <c r="C59" s="55"/>
      <c r="D59" s="18"/>
    </row>
    <row r="60" spans="1:4" x14ac:dyDescent="0.25">
      <c r="A60" s="19" t="s">
        <v>157</v>
      </c>
      <c r="B60" s="29"/>
      <c r="C60" s="55"/>
      <c r="D60" s="18"/>
    </row>
    <row r="61" spans="1:4" x14ac:dyDescent="0.25">
      <c r="A61" s="19" t="s">
        <v>158</v>
      </c>
      <c r="B61" s="17" t="s">
        <v>106</v>
      </c>
      <c r="C61" s="55"/>
      <c r="D61" s="18"/>
    </row>
    <row r="62" spans="1:4" x14ac:dyDescent="0.25">
      <c r="A62" s="19" t="s">
        <v>159</v>
      </c>
      <c r="B62" s="17" t="s">
        <v>108</v>
      </c>
      <c r="C62" s="55"/>
      <c r="D62" s="18"/>
    </row>
    <row r="63" spans="1:4" x14ac:dyDescent="0.25">
      <c r="A63" s="19" t="s">
        <v>161</v>
      </c>
      <c r="B63" s="17" t="s">
        <v>106</v>
      </c>
      <c r="C63" s="55"/>
      <c r="D63" s="18"/>
    </row>
    <row r="64" spans="1:4" x14ac:dyDescent="0.25">
      <c r="A64" s="19" t="s">
        <v>162</v>
      </c>
      <c r="B64" s="17" t="s">
        <v>106</v>
      </c>
      <c r="C64" s="55"/>
      <c r="D64" s="18"/>
    </row>
    <row r="65" spans="1:4" x14ac:dyDescent="0.25">
      <c r="A65" s="19" t="s">
        <v>164</v>
      </c>
      <c r="B65" s="17" t="s">
        <v>106</v>
      </c>
      <c r="C65" s="55"/>
      <c r="D65" s="18"/>
    </row>
    <row r="66" spans="1:4" x14ac:dyDescent="0.25">
      <c r="A66" s="19" t="s">
        <v>165</v>
      </c>
      <c r="B66" s="17" t="s">
        <v>108</v>
      </c>
      <c r="C66" s="55"/>
      <c r="D66" s="18"/>
    </row>
    <row r="67" spans="1:4" x14ac:dyDescent="0.25">
      <c r="A67" s="19" t="s">
        <v>166</v>
      </c>
      <c r="B67" s="17" t="s">
        <v>106</v>
      </c>
      <c r="C67" s="55"/>
      <c r="D67" s="18"/>
    </row>
    <row r="68" spans="1:4" x14ac:dyDescent="0.25">
      <c r="A68" s="19" t="s">
        <v>167</v>
      </c>
      <c r="B68" s="29"/>
      <c r="C68" s="55"/>
      <c r="D68" s="18"/>
    </row>
    <row r="69" spans="1:4" x14ac:dyDescent="0.25">
      <c r="A69" s="19" t="s">
        <v>168</v>
      </c>
      <c r="B69" s="17" t="s">
        <v>108</v>
      </c>
      <c r="C69" s="55"/>
      <c r="D69" s="18"/>
    </row>
    <row r="70" spans="1:4" x14ac:dyDescent="0.25">
      <c r="A70" s="19" t="s">
        <v>169</v>
      </c>
      <c r="B70" s="17" t="s">
        <v>108</v>
      </c>
      <c r="C70" s="55"/>
      <c r="D70" s="18"/>
    </row>
    <row r="71" spans="1:4" x14ac:dyDescent="0.25">
      <c r="A71" s="19" t="s">
        <v>170</v>
      </c>
      <c r="B71" s="17" t="s">
        <v>108</v>
      </c>
      <c r="C71" s="55"/>
      <c r="D71" s="18"/>
    </row>
    <row r="72" spans="1:4" x14ac:dyDescent="0.25">
      <c r="A72" s="19" t="s">
        <v>171</v>
      </c>
      <c r="B72" s="17" t="s">
        <v>106</v>
      </c>
      <c r="C72" s="55"/>
      <c r="D72" s="18"/>
    </row>
    <row r="73" spans="1:4" x14ac:dyDescent="0.25">
      <c r="A73" s="19" t="s">
        <v>173</v>
      </c>
      <c r="B73" s="17" t="s">
        <v>108</v>
      </c>
      <c r="C73" s="55"/>
      <c r="D73" s="18"/>
    </row>
    <row r="74" spans="1:4" x14ac:dyDescent="0.25">
      <c r="A74" s="19" t="s">
        <v>174</v>
      </c>
      <c r="B74" s="29"/>
      <c r="C74" s="55"/>
      <c r="D74" s="18"/>
    </row>
    <row r="75" spans="1:4" x14ac:dyDescent="0.25">
      <c r="A75" s="19" t="s">
        <v>200</v>
      </c>
      <c r="B75" s="17" t="s">
        <v>106</v>
      </c>
      <c r="C75" s="55"/>
      <c r="D75" s="18"/>
    </row>
    <row r="76" spans="1:4" x14ac:dyDescent="0.25">
      <c r="A76" s="19" t="s">
        <v>177</v>
      </c>
      <c r="B76" s="17" t="s">
        <v>106</v>
      </c>
      <c r="C76" s="55"/>
      <c r="D76" s="18"/>
    </row>
    <row r="77" spans="1:4" x14ac:dyDescent="0.25">
      <c r="A77" s="19" t="s">
        <v>179</v>
      </c>
      <c r="B77" s="17" t="s">
        <v>106</v>
      </c>
      <c r="C77" s="55"/>
      <c r="D77" s="18"/>
    </row>
    <row r="78" spans="1:4" x14ac:dyDescent="0.25">
      <c r="A78" s="19" t="s">
        <v>181</v>
      </c>
      <c r="B78" s="17" t="s">
        <v>106</v>
      </c>
      <c r="C78" s="55"/>
      <c r="D78" s="18"/>
    </row>
    <row r="79" spans="1:4" s="25" customFormat="1" x14ac:dyDescent="0.25">
      <c r="A79" s="22" t="s">
        <v>182</v>
      </c>
      <c r="B79" s="23" t="s">
        <v>106</v>
      </c>
      <c r="C79" s="56"/>
      <c r="D79" s="24"/>
    </row>
    <row r="80" spans="1:4" x14ac:dyDescent="0.25">
      <c r="A80" s="19" t="s">
        <v>183</v>
      </c>
      <c r="B80" s="17" t="s">
        <v>106</v>
      </c>
      <c r="C80" s="55"/>
      <c r="D80" s="18"/>
    </row>
    <row r="81" spans="1:4" x14ac:dyDescent="0.25">
      <c r="A81" s="19" t="s">
        <v>184</v>
      </c>
      <c r="B81" s="17" t="s">
        <v>106</v>
      </c>
      <c r="C81" s="55"/>
      <c r="D81" s="18"/>
    </row>
    <row r="82" spans="1:4" x14ac:dyDescent="0.25">
      <c r="A82" s="19" t="s">
        <v>185</v>
      </c>
      <c r="B82" s="17" t="s">
        <v>106</v>
      </c>
      <c r="C82" s="55"/>
      <c r="D82" s="18"/>
    </row>
    <row r="83" spans="1:4" x14ac:dyDescent="0.25">
      <c r="A83" s="19" t="s">
        <v>186</v>
      </c>
      <c r="B83" s="17" t="s">
        <v>108</v>
      </c>
      <c r="C83" s="55"/>
      <c r="D83" s="18"/>
    </row>
    <row r="84" spans="1:4" x14ac:dyDescent="0.25">
      <c r="A84" s="19" t="s">
        <v>187</v>
      </c>
      <c r="B84" s="17" t="s">
        <v>106</v>
      </c>
      <c r="C84" s="55"/>
      <c r="D84" s="18"/>
    </row>
    <row r="85" spans="1:4" x14ac:dyDescent="0.25">
      <c r="A85" s="19" t="s">
        <v>188</v>
      </c>
      <c r="B85" s="17" t="s">
        <v>106</v>
      </c>
      <c r="C85" s="55"/>
      <c r="D85" s="18"/>
    </row>
    <row r="86" spans="1:4" x14ac:dyDescent="0.25">
      <c r="A86" s="19"/>
      <c r="B86" s="17"/>
      <c r="C86" s="17"/>
      <c r="D86" s="18"/>
    </row>
    <row r="87" spans="1:4" x14ac:dyDescent="0.25">
      <c r="A87" s="16" t="s">
        <v>189</v>
      </c>
      <c r="B87" s="17"/>
      <c r="C87" s="17"/>
      <c r="D87" s="18"/>
    </row>
    <row r="88" spans="1:4" x14ac:dyDescent="0.25">
      <c r="A88" s="19"/>
      <c r="B88" s="20" t="s">
        <v>103</v>
      </c>
      <c r="C88" s="20"/>
      <c r="D88" s="18"/>
    </row>
    <row r="89" spans="1:4" x14ac:dyDescent="0.25">
      <c r="A89" s="19" t="s">
        <v>24</v>
      </c>
      <c r="B89" s="17" t="s">
        <v>106</v>
      </c>
      <c r="C89" s="17"/>
      <c r="D89" s="18"/>
    </row>
    <row r="90" spans="1:4" x14ac:dyDescent="0.25">
      <c r="A90" s="19" t="s">
        <v>32</v>
      </c>
      <c r="B90" s="17" t="s">
        <v>106</v>
      </c>
      <c r="C90" s="17"/>
      <c r="D90" s="18"/>
    </row>
    <row r="91" spans="1:4" x14ac:dyDescent="0.25">
      <c r="A91" s="19" t="s">
        <v>190</v>
      </c>
      <c r="B91" s="17" t="s">
        <v>106</v>
      </c>
      <c r="C91" s="17"/>
      <c r="D91" s="18"/>
    </row>
    <row r="92" spans="1:4" x14ac:dyDescent="0.25">
      <c r="A92" s="19" t="s">
        <v>38</v>
      </c>
      <c r="B92" s="17" t="s">
        <v>106</v>
      </c>
      <c r="C92" s="17"/>
      <c r="D92" s="18"/>
    </row>
    <row r="93" spans="1:4" x14ac:dyDescent="0.25">
      <c r="A93" s="19" t="s">
        <v>191</v>
      </c>
      <c r="B93" s="17" t="s">
        <v>106</v>
      </c>
      <c r="C93" s="17"/>
      <c r="D93" s="18"/>
    </row>
    <row r="94" spans="1:4" x14ac:dyDescent="0.25">
      <c r="A94" s="19" t="s">
        <v>52</v>
      </c>
      <c r="B94" s="17" t="s">
        <v>106</v>
      </c>
      <c r="C94" s="17"/>
      <c r="D94" s="18"/>
    </row>
    <row r="95" spans="1:4" x14ac:dyDescent="0.25">
      <c r="A95" s="19" t="s">
        <v>192</v>
      </c>
      <c r="B95" s="17" t="s">
        <v>106</v>
      </c>
      <c r="C95" s="17"/>
      <c r="D95" s="18"/>
    </row>
    <row r="96" spans="1:4" x14ac:dyDescent="0.25">
      <c r="A96" s="19" t="s">
        <v>193</v>
      </c>
      <c r="B96" s="17" t="s">
        <v>108</v>
      </c>
      <c r="C96" s="57" t="str">
        <f>'NTML PN'!D42</f>
        <v>Y</v>
      </c>
      <c r="D96" s="18" t="s">
        <v>261</v>
      </c>
    </row>
    <row r="97" spans="1:4" x14ac:dyDescent="0.25">
      <c r="A97" s="19" t="s">
        <v>194</v>
      </c>
      <c r="B97" s="17" t="s">
        <v>106</v>
      </c>
      <c r="C97" s="17"/>
      <c r="D97" s="18"/>
    </row>
    <row r="98" spans="1:4" x14ac:dyDescent="0.25">
      <c r="A98" s="19" t="s">
        <v>195</v>
      </c>
      <c r="B98" s="17" t="s">
        <v>106</v>
      </c>
      <c r="C98" s="17"/>
      <c r="D98" s="18"/>
    </row>
    <row r="99" spans="1:4" x14ac:dyDescent="0.25">
      <c r="A99" s="19" t="s">
        <v>196</v>
      </c>
      <c r="B99" s="17" t="s">
        <v>106</v>
      </c>
      <c r="C99" s="17"/>
      <c r="D99" s="18"/>
    </row>
    <row r="100" spans="1:4" x14ac:dyDescent="0.25">
      <c r="A100" s="19"/>
      <c r="B100" s="17"/>
      <c r="C100" s="17"/>
      <c r="D100" s="18"/>
    </row>
    <row r="101" spans="1:4" x14ac:dyDescent="0.25">
      <c r="A101" s="16" t="s">
        <v>197</v>
      </c>
      <c r="B101" s="17"/>
      <c r="C101" s="17"/>
      <c r="D101" s="18"/>
    </row>
    <row r="102" spans="1:4" x14ac:dyDescent="0.25">
      <c r="A102" s="19"/>
      <c r="B102" s="20" t="s">
        <v>103</v>
      </c>
      <c r="C102" s="20"/>
      <c r="D102" s="18"/>
    </row>
    <row r="103" spans="1:4" x14ac:dyDescent="0.25">
      <c r="A103" s="19" t="s">
        <v>190</v>
      </c>
      <c r="B103" s="17" t="s">
        <v>106</v>
      </c>
      <c r="C103" s="17"/>
      <c r="D103" s="18"/>
    </row>
    <row r="104" spans="1:4" x14ac:dyDescent="0.25">
      <c r="A104" s="19" t="s">
        <v>38</v>
      </c>
      <c r="B104" s="17" t="s">
        <v>106</v>
      </c>
      <c r="C104" s="17"/>
      <c r="D104" s="18"/>
    </row>
    <row r="105" spans="1:4" x14ac:dyDescent="0.25">
      <c r="A105" s="19" t="s">
        <v>191</v>
      </c>
      <c r="B105" s="17" t="s">
        <v>106</v>
      </c>
      <c r="C105" s="17"/>
      <c r="D105" s="18"/>
    </row>
    <row r="106" spans="1:4" x14ac:dyDescent="0.25">
      <c r="A106" s="19" t="s">
        <v>52</v>
      </c>
      <c r="B106" s="17" t="s">
        <v>106</v>
      </c>
      <c r="C106" s="17"/>
      <c r="D106" s="18"/>
    </row>
    <row r="107" spans="1:4" x14ac:dyDescent="0.25">
      <c r="A107" s="19" t="s">
        <v>192</v>
      </c>
      <c r="B107" s="17" t="s">
        <v>106</v>
      </c>
      <c r="C107" s="17"/>
      <c r="D107" s="18"/>
    </row>
    <row r="108" spans="1:4" x14ac:dyDescent="0.25">
      <c r="A108" s="19" t="s">
        <v>193</v>
      </c>
      <c r="B108" s="17" t="s">
        <v>108</v>
      </c>
      <c r="C108" s="17"/>
      <c r="D108" s="18"/>
    </row>
    <row r="109" spans="1:4" x14ac:dyDescent="0.25">
      <c r="A109" s="19" t="s">
        <v>194</v>
      </c>
      <c r="B109" s="17" t="s">
        <v>106</v>
      </c>
      <c r="C109" s="17"/>
      <c r="D109" s="18"/>
    </row>
    <row r="110" spans="1:4" x14ac:dyDescent="0.25">
      <c r="A110" s="19" t="s">
        <v>195</v>
      </c>
      <c r="B110" s="17" t="s">
        <v>106</v>
      </c>
      <c r="C110" s="17"/>
      <c r="D110" s="18"/>
    </row>
    <row r="111" spans="1:4" x14ac:dyDescent="0.25">
      <c r="A111" s="11"/>
      <c r="D111" s="12"/>
    </row>
    <row r="112" spans="1:4" x14ac:dyDescent="0.25">
      <c r="A112" s="11"/>
      <c r="D112" s="12"/>
    </row>
    <row r="113" spans="1:4" x14ac:dyDescent="0.25">
      <c r="A113" s="26"/>
      <c r="B113" s="27"/>
      <c r="C113" s="27"/>
      <c r="D113" s="28"/>
    </row>
  </sheetData>
  <mergeCells count="1">
    <mergeCell ref="A1:D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34B11-5D77-469C-A8A8-8EFADD9A5ECB}">
  <sheetPr>
    <tabColor rgb="FF00B050"/>
  </sheetPr>
  <dimension ref="A2:K94"/>
  <sheetViews>
    <sheetView topLeftCell="A19" workbookViewId="0">
      <selection activeCell="F5" sqref="F5:H5"/>
    </sheetView>
  </sheetViews>
  <sheetFormatPr defaultRowHeight="15" x14ac:dyDescent="0.25"/>
  <cols>
    <col min="2" max="2" width="9.140625" customWidth="1"/>
  </cols>
  <sheetData>
    <row r="2" spans="1:11" x14ac:dyDescent="0.25">
      <c r="A2" s="179"/>
      <c r="B2" s="179"/>
      <c r="C2" s="179"/>
      <c r="D2" s="179" t="s">
        <v>202</v>
      </c>
      <c r="E2" s="309"/>
      <c r="F2" s="274" t="str">
        <f>'Quantifier Work Req'!$D$6</f>
        <v>TIRSH</v>
      </c>
      <c r="G2" s="274"/>
      <c r="H2" s="274"/>
      <c r="I2" s="307" t="str">
        <f>'Quantifier Work Req'!$R$3</f>
        <v>Hillside Template</v>
      </c>
      <c r="J2" s="305"/>
      <c r="K2" s="305"/>
    </row>
    <row r="3" spans="1:11" x14ac:dyDescent="0.25">
      <c r="A3" s="179"/>
      <c r="B3" s="179"/>
      <c r="C3" s="179"/>
      <c r="D3" s="179" t="s">
        <v>298</v>
      </c>
      <c r="E3" s="179"/>
      <c r="F3" s="274" t="str">
        <f>'Quantifier Work Req'!$R$6</f>
        <v>131 Diana Drive, Glenfield</v>
      </c>
      <c r="G3" s="274"/>
      <c r="H3" s="274"/>
      <c r="I3" s="307"/>
      <c r="J3" s="305"/>
      <c r="K3" s="305"/>
    </row>
    <row r="4" spans="1:11" x14ac:dyDescent="0.25">
      <c r="A4" s="179"/>
      <c r="B4" s="179"/>
      <c r="C4" s="179"/>
      <c r="I4" s="179"/>
      <c r="J4" s="179"/>
      <c r="K4" s="179"/>
    </row>
    <row r="5" spans="1:11" x14ac:dyDescent="0.25">
      <c r="A5" s="179"/>
      <c r="B5" s="179"/>
      <c r="C5" s="179"/>
      <c r="D5" s="273" t="s">
        <v>297</v>
      </c>
      <c r="E5" s="273"/>
      <c r="F5" s="306">
        <f>'Quantifier Work Req'!$E$3</f>
        <v>88888888</v>
      </c>
      <c r="G5" s="306"/>
      <c r="H5" s="306"/>
      <c r="I5" s="40" t="s">
        <v>201</v>
      </c>
      <c r="J5" s="308">
        <f ca="1">TODAY()</f>
        <v>44817</v>
      </c>
      <c r="K5" s="179"/>
    </row>
    <row r="46" spans="8:10" x14ac:dyDescent="0.25">
      <c r="H46" s="305" t="str">
        <f>'Quantifier Work Req'!$R$3</f>
        <v>Hillside Template</v>
      </c>
      <c r="I46" s="305"/>
      <c r="J46" s="305"/>
    </row>
    <row r="47" spans="8:10" x14ac:dyDescent="0.25">
      <c r="H47" s="305"/>
      <c r="I47" s="305"/>
      <c r="J47" s="305"/>
    </row>
    <row r="49" spans="1:11" x14ac:dyDescent="0.25">
      <c r="A49" s="179"/>
      <c r="B49" s="179"/>
      <c r="C49" s="179"/>
      <c r="D49" s="179" t="s">
        <v>202</v>
      </c>
      <c r="E49" s="309"/>
      <c r="F49" s="274" t="str">
        <f>'Quantifier Work Req'!$D$6</f>
        <v>TIRSH</v>
      </c>
      <c r="G49" s="274"/>
      <c r="H49" s="274"/>
      <c r="I49" s="307" t="str">
        <f>'Quantifier Work Req'!$R$3</f>
        <v>Hillside Template</v>
      </c>
      <c r="J49" s="305"/>
      <c r="K49" s="305"/>
    </row>
    <row r="50" spans="1:11" x14ac:dyDescent="0.25">
      <c r="A50" s="179"/>
      <c r="B50" s="179"/>
      <c r="C50" s="179"/>
      <c r="D50" s="179" t="s">
        <v>298</v>
      </c>
      <c r="E50" s="179"/>
      <c r="F50" s="274" t="str">
        <f>'Quantifier Work Req'!$R$6</f>
        <v>131 Diana Drive, Glenfield</v>
      </c>
      <c r="G50" s="274"/>
      <c r="H50" s="274"/>
      <c r="I50" s="307"/>
      <c r="J50" s="305"/>
      <c r="K50" s="305"/>
    </row>
    <row r="51" spans="1:11" x14ac:dyDescent="0.25">
      <c r="A51" s="179"/>
      <c r="B51" s="179"/>
      <c r="C51" s="179"/>
      <c r="I51" s="179"/>
      <c r="J51" s="179"/>
      <c r="K51" s="179"/>
    </row>
    <row r="52" spans="1:11" x14ac:dyDescent="0.25">
      <c r="A52" s="179"/>
      <c r="B52" s="179"/>
      <c r="C52" s="179"/>
      <c r="D52" s="273" t="s">
        <v>297</v>
      </c>
      <c r="E52" s="273"/>
      <c r="F52" s="306">
        <f>'Quantifier Work Req'!$E$3</f>
        <v>88888888</v>
      </c>
      <c r="G52" s="306"/>
      <c r="H52" s="306"/>
      <c r="I52" s="40" t="s">
        <v>201</v>
      </c>
      <c r="J52" s="308">
        <f ca="1">TODAY()</f>
        <v>44817</v>
      </c>
      <c r="K52" s="179"/>
    </row>
    <row r="58" spans="1:11" x14ac:dyDescent="0.25">
      <c r="F58" t="s">
        <v>299</v>
      </c>
    </row>
    <row r="93" spans="8:10" x14ac:dyDescent="0.25">
      <c r="H93" s="305" t="str">
        <f>'Quantifier Work Req'!$R$3</f>
        <v>Hillside Template</v>
      </c>
      <c r="I93" s="305"/>
      <c r="J93" s="305"/>
    </row>
    <row r="94" spans="8:10" x14ac:dyDescent="0.25">
      <c r="H94" s="305"/>
      <c r="I94" s="305"/>
      <c r="J94" s="305"/>
    </row>
  </sheetData>
  <mergeCells count="22">
    <mergeCell ref="A2:C5"/>
    <mergeCell ref="D5:E5"/>
    <mergeCell ref="I4:K4"/>
    <mergeCell ref="J5:K5"/>
    <mergeCell ref="F2:H2"/>
    <mergeCell ref="D2:E2"/>
    <mergeCell ref="A49:C52"/>
    <mergeCell ref="D49:E49"/>
    <mergeCell ref="F49:H49"/>
    <mergeCell ref="I49:K50"/>
    <mergeCell ref="D50:E50"/>
    <mergeCell ref="H93:J94"/>
    <mergeCell ref="D3:E3"/>
    <mergeCell ref="F3:H3"/>
    <mergeCell ref="F5:H5"/>
    <mergeCell ref="I2:K3"/>
    <mergeCell ref="H46:J47"/>
    <mergeCell ref="F50:H50"/>
    <mergeCell ref="I51:K51"/>
    <mergeCell ref="D52:E52"/>
    <mergeCell ref="F52:H52"/>
    <mergeCell ref="J52:K52"/>
  </mergeCells>
  <pageMargins left="0.25" right="0.25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ECCB6-05AD-40C7-9338-674AF61E274E}">
  <dimension ref="B2:J45"/>
  <sheetViews>
    <sheetView workbookViewId="0">
      <selection activeCell="F43" sqref="F43"/>
    </sheetView>
  </sheetViews>
  <sheetFormatPr defaultRowHeight="15" x14ac:dyDescent="0.25"/>
  <cols>
    <col min="1" max="1" width="4" customWidth="1"/>
  </cols>
  <sheetData>
    <row r="2" spans="2:10" x14ac:dyDescent="0.25">
      <c r="H2" s="249">
        <f ca="1">TODAY()</f>
        <v>44817</v>
      </c>
      <c r="I2" s="249"/>
    </row>
    <row r="4" spans="2:10" x14ac:dyDescent="0.25">
      <c r="F4" s="251" t="s">
        <v>316</v>
      </c>
      <c r="G4" s="251"/>
      <c r="H4" s="250" t="str">
        <f>'Quantifier Work Req'!$R$6</f>
        <v>131 Diana Drive, Glenfield</v>
      </c>
      <c r="I4" s="250"/>
      <c r="J4" s="250"/>
    </row>
    <row r="5" spans="2:10" x14ac:dyDescent="0.25">
      <c r="F5" s="251" t="s">
        <v>398</v>
      </c>
      <c r="G5" s="251"/>
      <c r="H5" s="87">
        <f>'Quantifier Work Req'!$E$3</f>
        <v>88888888</v>
      </c>
    </row>
    <row r="7" spans="2:10" x14ac:dyDescent="0.25">
      <c r="B7" s="102" t="str">
        <f>'Quantifier Work Req'!$R$3</f>
        <v>Hillside Template</v>
      </c>
    </row>
    <row r="9" spans="2:10" x14ac:dyDescent="0.25">
      <c r="B9" s="100" t="s">
        <v>439</v>
      </c>
    </row>
    <row r="40" spans="2:7" x14ac:dyDescent="0.25">
      <c r="B40" t="s">
        <v>202</v>
      </c>
      <c r="D40" s="106" t="str">
        <f>'Cover Letter'!B12</f>
        <v>TIRSH</v>
      </c>
    </row>
    <row r="41" spans="2:7" x14ac:dyDescent="0.25">
      <c r="B41" t="s">
        <v>440</v>
      </c>
      <c r="E41" s="27"/>
      <c r="F41" s="27"/>
      <c r="G41" s="27"/>
    </row>
    <row r="42" spans="2:7" x14ac:dyDescent="0.25">
      <c r="B42" t="s">
        <v>441</v>
      </c>
      <c r="E42" s="107"/>
      <c r="F42" s="107"/>
      <c r="G42" s="107"/>
    </row>
    <row r="43" spans="2:7" x14ac:dyDescent="0.25">
      <c r="B43" t="s">
        <v>201</v>
      </c>
      <c r="E43" s="107"/>
      <c r="F43" s="107"/>
      <c r="G43" s="107"/>
    </row>
    <row r="44" spans="2:7" x14ac:dyDescent="0.25">
      <c r="B44" s="108" t="s">
        <v>442</v>
      </c>
    </row>
    <row r="45" spans="2:7" x14ac:dyDescent="0.25">
      <c r="B45" s="108" t="s">
        <v>443</v>
      </c>
    </row>
  </sheetData>
  <mergeCells count="4">
    <mergeCell ref="H2:I2"/>
    <mergeCell ref="F4:G4"/>
    <mergeCell ref="H4:J4"/>
    <mergeCell ref="F5:G5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B5819-7506-4C6C-BE5D-A72AFA14645B}">
  <sheetPr>
    <tabColor rgb="FF00B050"/>
  </sheetPr>
  <dimension ref="A1:G31"/>
  <sheetViews>
    <sheetView workbookViewId="0">
      <selection activeCell="I25" sqref="I25"/>
    </sheetView>
  </sheetViews>
  <sheetFormatPr defaultRowHeight="15" x14ac:dyDescent="0.25"/>
  <cols>
    <col min="3" max="3" width="32.7109375" bestFit="1" customWidth="1"/>
    <col min="7" max="7" width="20.85546875" bestFit="1" customWidth="1"/>
  </cols>
  <sheetData>
    <row r="1" spans="1:7" x14ac:dyDescent="0.25">
      <c r="A1" s="96" t="s">
        <v>329</v>
      </c>
      <c r="B1" s="96" t="s">
        <v>204</v>
      </c>
      <c r="C1" s="96" t="s">
        <v>250</v>
      </c>
      <c r="D1" s="96" t="s">
        <v>330</v>
      </c>
      <c r="E1" s="96" t="s">
        <v>276</v>
      </c>
      <c r="F1" s="96" t="s">
        <v>331</v>
      </c>
    </row>
    <row r="2" spans="1:7" x14ac:dyDescent="0.25">
      <c r="A2" s="96" t="s">
        <v>332</v>
      </c>
      <c r="B2" s="96"/>
      <c r="C2" s="96"/>
      <c r="D2" s="96"/>
      <c r="E2" s="96"/>
      <c r="F2" s="96"/>
    </row>
    <row r="3" spans="1:7" x14ac:dyDescent="0.25">
      <c r="A3" s="100" t="s">
        <v>376</v>
      </c>
      <c r="B3" s="96" t="s">
        <v>333</v>
      </c>
      <c r="C3" s="97" t="s">
        <v>334</v>
      </c>
      <c r="D3" s="96" t="s">
        <v>335</v>
      </c>
      <c r="E3" s="96" t="s">
        <v>336</v>
      </c>
      <c r="F3" s="96" t="s">
        <v>337</v>
      </c>
      <c r="G3" s="100" t="s">
        <v>377</v>
      </c>
    </row>
    <row r="4" spans="1:7" x14ac:dyDescent="0.25">
      <c r="A4" s="100" t="s">
        <v>296</v>
      </c>
      <c r="B4" s="96" t="s">
        <v>99</v>
      </c>
      <c r="C4" s="97" t="s">
        <v>338</v>
      </c>
      <c r="D4" s="96"/>
      <c r="E4" s="96" t="s">
        <v>339</v>
      </c>
      <c r="F4" s="96" t="s">
        <v>337</v>
      </c>
    </row>
    <row r="5" spans="1:7" x14ac:dyDescent="0.25">
      <c r="A5" s="100" t="s">
        <v>296</v>
      </c>
      <c r="B5" s="96" t="s">
        <v>340</v>
      </c>
      <c r="C5" s="97" t="s">
        <v>341</v>
      </c>
      <c r="D5" s="96" t="s">
        <v>342</v>
      </c>
      <c r="E5" s="96" t="s">
        <v>343</v>
      </c>
      <c r="F5" s="96" t="s">
        <v>337</v>
      </c>
    </row>
    <row r="6" spans="1:7" x14ac:dyDescent="0.25">
      <c r="A6" s="96"/>
      <c r="B6" s="96"/>
      <c r="C6" s="96"/>
      <c r="D6" s="96"/>
      <c r="E6" s="96"/>
      <c r="F6" s="96"/>
    </row>
    <row r="7" spans="1:7" x14ac:dyDescent="0.25">
      <c r="A7" s="96" t="s">
        <v>344</v>
      </c>
      <c r="B7" s="96"/>
      <c r="C7" s="96"/>
      <c r="D7" s="96"/>
      <c r="E7" s="96"/>
      <c r="F7" s="96"/>
    </row>
    <row r="8" spans="1:7" x14ac:dyDescent="0.25">
      <c r="A8" s="100" t="s">
        <v>296</v>
      </c>
      <c r="B8" s="96" t="s">
        <v>206</v>
      </c>
      <c r="C8" s="97" t="s">
        <v>345</v>
      </c>
      <c r="D8" s="96"/>
      <c r="E8" s="96" t="s">
        <v>339</v>
      </c>
      <c r="F8" s="96" t="s">
        <v>337</v>
      </c>
    </row>
    <row r="9" spans="1:7" x14ac:dyDescent="0.25">
      <c r="A9" s="100" t="s">
        <v>296</v>
      </c>
      <c r="B9" s="96" t="s">
        <v>206</v>
      </c>
      <c r="C9" s="97" t="s">
        <v>345</v>
      </c>
      <c r="D9" s="96"/>
      <c r="E9" s="96" t="s">
        <v>343</v>
      </c>
      <c r="F9" s="96" t="s">
        <v>337</v>
      </c>
    </row>
    <row r="10" spans="1:7" x14ac:dyDescent="0.25">
      <c r="A10" s="100" t="s">
        <v>296</v>
      </c>
      <c r="B10" s="96" t="s">
        <v>207</v>
      </c>
      <c r="C10" s="97" t="s">
        <v>346</v>
      </c>
      <c r="D10" s="96"/>
      <c r="E10" s="96" t="s">
        <v>343</v>
      </c>
      <c r="F10" s="96" t="s">
        <v>337</v>
      </c>
    </row>
    <row r="11" spans="1:7" x14ac:dyDescent="0.25">
      <c r="A11" s="96" t="s">
        <v>347</v>
      </c>
      <c r="B11" s="96"/>
      <c r="C11" s="96"/>
      <c r="D11" s="96"/>
      <c r="E11" s="96"/>
      <c r="F11" s="96"/>
    </row>
    <row r="12" spans="1:7" x14ac:dyDescent="0.25">
      <c r="A12" s="100" t="s">
        <v>296</v>
      </c>
      <c r="B12" s="96" t="s">
        <v>348</v>
      </c>
      <c r="C12" s="97" t="s">
        <v>349</v>
      </c>
      <c r="D12" s="98"/>
      <c r="E12" s="96" t="s">
        <v>339</v>
      </c>
      <c r="F12" s="96" t="s">
        <v>337</v>
      </c>
    </row>
    <row r="13" spans="1:7" x14ac:dyDescent="0.25">
      <c r="A13" s="100" t="s">
        <v>296</v>
      </c>
      <c r="B13" s="96" t="s">
        <v>350</v>
      </c>
      <c r="C13" s="97" t="s">
        <v>351</v>
      </c>
      <c r="D13" s="96"/>
      <c r="E13" s="96" t="s">
        <v>343</v>
      </c>
      <c r="F13" s="96" t="s">
        <v>337</v>
      </c>
    </row>
    <row r="14" spans="1:7" x14ac:dyDescent="0.25">
      <c r="A14" s="100" t="s">
        <v>296</v>
      </c>
      <c r="B14" s="96" t="s">
        <v>352</v>
      </c>
      <c r="C14" s="97" t="s">
        <v>353</v>
      </c>
      <c r="D14" s="96"/>
      <c r="E14" s="96" t="s">
        <v>354</v>
      </c>
      <c r="F14" s="96" t="s">
        <v>337</v>
      </c>
    </row>
    <row r="15" spans="1:7" x14ac:dyDescent="0.25">
      <c r="A15" s="96"/>
      <c r="B15" s="96"/>
      <c r="C15" s="97"/>
      <c r="D15" s="96"/>
      <c r="E15" s="96"/>
      <c r="F15" s="96"/>
    </row>
    <row r="16" spans="1:7" x14ac:dyDescent="0.25">
      <c r="A16" s="96" t="s">
        <v>355</v>
      </c>
      <c r="B16" s="96"/>
      <c r="C16" s="96"/>
      <c r="D16" s="96"/>
      <c r="E16" s="96"/>
      <c r="F16" s="96"/>
    </row>
    <row r="17" spans="1:6" x14ac:dyDescent="0.25">
      <c r="A17" s="100" t="s">
        <v>296</v>
      </c>
      <c r="B17" s="96" t="s">
        <v>356</v>
      </c>
      <c r="C17" s="97" t="s">
        <v>357</v>
      </c>
      <c r="D17" s="96" t="s">
        <v>358</v>
      </c>
      <c r="E17" s="96" t="s">
        <v>339</v>
      </c>
      <c r="F17" s="96" t="s">
        <v>337</v>
      </c>
    </row>
    <row r="18" spans="1:6" x14ac:dyDescent="0.25">
      <c r="A18" s="96" t="s">
        <v>359</v>
      </c>
      <c r="B18" s="96"/>
      <c r="C18" s="96"/>
      <c r="D18" s="96"/>
      <c r="E18" s="96"/>
      <c r="F18" s="96"/>
    </row>
    <row r="19" spans="1:6" x14ac:dyDescent="0.25">
      <c r="A19" s="96"/>
      <c r="B19" s="96"/>
      <c r="C19" s="96"/>
      <c r="D19" s="96"/>
      <c r="E19" s="96"/>
      <c r="F19" s="96"/>
    </row>
    <row r="20" spans="1:6" x14ac:dyDescent="0.25">
      <c r="A20" s="100" t="s">
        <v>296</v>
      </c>
      <c r="B20" s="96" t="s">
        <v>360</v>
      </c>
      <c r="C20" s="97" t="s">
        <v>361</v>
      </c>
      <c r="D20" s="96"/>
      <c r="E20" s="96" t="s">
        <v>343</v>
      </c>
      <c r="F20" s="96" t="s">
        <v>337</v>
      </c>
    </row>
    <row r="21" spans="1:6" x14ac:dyDescent="0.25">
      <c r="A21" s="96" t="s">
        <v>214</v>
      </c>
      <c r="B21" s="96"/>
      <c r="C21" s="96"/>
      <c r="D21" s="96"/>
      <c r="E21" s="96"/>
      <c r="F21" s="96"/>
    </row>
    <row r="22" spans="1:6" x14ac:dyDescent="0.25">
      <c r="A22" s="96"/>
      <c r="B22" s="96"/>
      <c r="C22" s="96"/>
      <c r="D22" s="96"/>
      <c r="E22" s="96"/>
      <c r="F22" s="96"/>
    </row>
    <row r="23" spans="1:6" x14ac:dyDescent="0.25">
      <c r="A23" s="100" t="s">
        <v>296</v>
      </c>
      <c r="B23" s="96" t="s">
        <v>362</v>
      </c>
      <c r="C23" s="97" t="s">
        <v>363</v>
      </c>
      <c r="D23" s="96"/>
      <c r="E23" s="96" t="s">
        <v>343</v>
      </c>
      <c r="F23" s="96" t="s">
        <v>337</v>
      </c>
    </row>
    <row r="24" spans="1:6" x14ac:dyDescent="0.25">
      <c r="A24" s="100" t="s">
        <v>296</v>
      </c>
      <c r="B24" s="99" t="s">
        <v>364</v>
      </c>
      <c r="C24" s="97" t="s">
        <v>365</v>
      </c>
      <c r="D24" s="96"/>
      <c r="E24" s="96" t="s">
        <v>339</v>
      </c>
      <c r="F24" s="99" t="s">
        <v>337</v>
      </c>
    </row>
    <row r="25" spans="1:6" x14ac:dyDescent="0.25">
      <c r="A25" s="100" t="s">
        <v>296</v>
      </c>
      <c r="B25" s="96" t="s">
        <v>366</v>
      </c>
      <c r="C25" s="97" t="s">
        <v>367</v>
      </c>
      <c r="D25" s="96"/>
      <c r="E25" s="96" t="s">
        <v>354</v>
      </c>
      <c r="F25" s="96" t="s">
        <v>337</v>
      </c>
    </row>
    <row r="26" spans="1:6" x14ac:dyDescent="0.25">
      <c r="A26" s="100" t="s">
        <v>296</v>
      </c>
      <c r="B26" s="96" t="s">
        <v>368</v>
      </c>
      <c r="C26" s="97" t="s">
        <v>369</v>
      </c>
      <c r="D26" s="96"/>
      <c r="E26" s="96" t="s">
        <v>354</v>
      </c>
      <c r="F26" s="96" t="s">
        <v>337</v>
      </c>
    </row>
    <row r="27" spans="1:6" x14ac:dyDescent="0.25">
      <c r="A27" s="96" t="s">
        <v>223</v>
      </c>
      <c r="B27" s="96"/>
      <c r="C27" s="96"/>
      <c r="D27" s="96"/>
      <c r="E27" s="96"/>
      <c r="F27" s="96"/>
    </row>
    <row r="28" spans="1:6" x14ac:dyDescent="0.25">
      <c r="A28" s="96"/>
      <c r="B28" s="96"/>
      <c r="C28" s="96"/>
      <c r="D28" s="96"/>
      <c r="E28" s="96"/>
      <c r="F28" s="96"/>
    </row>
    <row r="29" spans="1:6" x14ac:dyDescent="0.25">
      <c r="A29" s="100" t="s">
        <v>296</v>
      </c>
      <c r="B29" s="96" t="s">
        <v>370</v>
      </c>
      <c r="C29" s="97" t="s">
        <v>371</v>
      </c>
      <c r="D29" s="96"/>
      <c r="E29" s="96"/>
      <c r="F29" s="96"/>
    </row>
    <row r="30" spans="1:6" x14ac:dyDescent="0.25">
      <c r="A30" s="100" t="s">
        <v>296</v>
      </c>
      <c r="B30" s="96" t="s">
        <v>209</v>
      </c>
      <c r="C30" s="97" t="s">
        <v>372</v>
      </c>
      <c r="D30" s="97" t="s">
        <v>373</v>
      </c>
      <c r="E30" s="96" t="s">
        <v>339</v>
      </c>
      <c r="F30" s="96" t="s">
        <v>374</v>
      </c>
    </row>
    <row r="31" spans="1:6" x14ac:dyDescent="0.25">
      <c r="A31" s="100" t="s">
        <v>296</v>
      </c>
      <c r="B31" s="96" t="s">
        <v>210</v>
      </c>
      <c r="C31" s="97" t="s">
        <v>375</v>
      </c>
      <c r="D31" s="96"/>
      <c r="E31" s="96" t="s">
        <v>343</v>
      </c>
      <c r="F31" s="96" t="s">
        <v>337</v>
      </c>
    </row>
  </sheetData>
  <hyperlinks>
    <hyperlink ref="C3" r:id="rId1" display="mailto:prenail@turangiitm.co.nz" xr:uid="{6F2B979A-CD2C-480F-AE63-E4667145AA67}"/>
    <hyperlink ref="C4" r:id="rId2" display="mailto:estimate@ntml.co.nz" xr:uid="{E172950D-5AA7-460B-8273-ED6A0815078D}"/>
    <hyperlink ref="C5" r:id="rId3" display="mailto:plans@dayleitm.co.nz" xr:uid="{A27AE027-4BCC-483F-8D29-029EFF5D3F40}"/>
    <hyperlink ref="C8" r:id="rId4" display="mailto:akl.cutandbend@unitedsteel.co.nz" xr:uid="{467931AA-4F07-44B0-B1EB-0BDC5BBD8EC2}"/>
    <hyperlink ref="C9" r:id="rId5" display="mailto:akl.cutandbend@unitedsteel.co.nz" xr:uid="{5E6C81FA-5BA7-441D-A927-16D503EAE588}"/>
    <hyperlink ref="C10" r:id="rId6" display="mailto:QS@summitsteel.co.nz" xr:uid="{55CB8865-495F-45ED-A0DA-9C01501D76C7}"/>
    <hyperlink ref="C12" r:id="rId7" display="mailto:info@mahurangijoinery.co.nz" xr:uid="{B91C0D36-B613-49AE-ACDD-8B12C82EBF19}"/>
    <hyperlink ref="C13" r:id="rId8" display="mailto:trish.shirley@doorways.co.nz" xr:uid="{BEE6BFA8-A513-4206-8123-95CCC1607637}"/>
    <hyperlink ref="C14" r:id="rId9" display="mailto:sales@elitedoors.net.nz" xr:uid="{DEFF5B8E-B016-467F-9C98-02A290A5224A}"/>
    <hyperlink ref="C17" r:id="rId10" display="mailto:ash@visionwindows.co.nz" xr:uid="{FA2AC636-325C-47C4-8C8D-BCCA5120A767}"/>
    <hyperlink ref="C20" r:id="rId11" display="mailto:sales@domnorthshore.co.nz" xr:uid="{7DBE00C2-00FC-4931-AC70-3191E0A9BABD}"/>
    <hyperlink ref="C23" r:id="rId12" display="mailto:John.Coogan@pinkfit.co.nz" xr:uid="{A531EBC2-851D-42F7-B87A-DA539BF5D043}"/>
    <hyperlink ref="C24" r:id="rId13" display="mailto:jon@naturalinsulation.co.nz" xr:uid="{B60B995B-E65A-4B1E-9A39-E3DC2B2819BF}"/>
    <hyperlink ref="C25" r:id="rId14" display="mailto:David.morris@adlgroup.co.nz" xr:uid="{C2A3F4C6-DF12-40B8-9E51-26E23CE855BB}"/>
    <hyperlink ref="C26" r:id="rId15" display="mailto:sales@allwin.co.nz" xr:uid="{645167C4-8AFE-453F-8ABE-C3D8079395A2}"/>
    <hyperlink ref="C29" r:id="rId16" display="mailto:dan@rosenfeldkidson.co.nz" xr:uid="{C9B05E56-D950-44C0-8D18-FC0C169A2820}"/>
    <hyperlink ref="C30" r:id="rId17" display="mailto:Sarah.Buckley@abodo.co.nz" xr:uid="{48D0DF93-5EF3-4E92-8918-96C1F69595DF}"/>
    <hyperlink ref="D30" r:id="rId18" display="mailto:lewis.marshall@abodo.co.nz" xr:uid="{3ABAC8A3-4C4F-488A-A4E7-3C346FD85F63}"/>
    <hyperlink ref="C31" r:id="rId19" display="mailto:seanh@jsctimber.co.nz" xr:uid="{FF6E1CCB-5BFB-45C6-9A87-B01DAA9A9264}"/>
  </hyperlinks>
  <pageMargins left="0.7" right="0.7" top="0.75" bottom="0.75" header="0.3" footer="0.3"/>
  <pageSetup paperSize="9" orientation="portrait" r:id="rId2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EEF40-A858-4731-B129-287705C931AD}">
  <dimension ref="A1:F17"/>
  <sheetViews>
    <sheetView workbookViewId="0">
      <selection activeCell="E3" sqref="E3"/>
    </sheetView>
  </sheetViews>
  <sheetFormatPr defaultRowHeight="15" x14ac:dyDescent="0.25"/>
  <cols>
    <col min="1" max="1" width="20.7109375" bestFit="1" customWidth="1"/>
    <col min="5" max="5" width="13.42578125" bestFit="1" customWidth="1"/>
  </cols>
  <sheetData>
    <row r="1" spans="1:6" x14ac:dyDescent="0.25">
      <c r="A1" t="s">
        <v>422</v>
      </c>
      <c r="C1" t="s">
        <v>420</v>
      </c>
      <c r="E1" t="s">
        <v>423</v>
      </c>
    </row>
    <row r="2" spans="1:6" x14ac:dyDescent="0.25">
      <c r="A2" s="100" t="s">
        <v>424</v>
      </c>
      <c r="B2" t="s">
        <v>419</v>
      </c>
      <c r="C2">
        <v>8</v>
      </c>
      <c r="D2" t="s">
        <v>421</v>
      </c>
      <c r="E2" s="100" t="s">
        <v>425</v>
      </c>
    </row>
    <row r="3" spans="1:6" x14ac:dyDescent="0.25">
      <c r="B3" t="s">
        <v>38</v>
      </c>
    </row>
    <row r="4" spans="1:6" x14ac:dyDescent="0.25">
      <c r="B4" t="s">
        <v>209</v>
      </c>
      <c r="F4" s="100" t="s">
        <v>426</v>
      </c>
    </row>
    <row r="5" spans="1:6" x14ac:dyDescent="0.25">
      <c r="B5" t="s">
        <v>427</v>
      </c>
      <c r="F5" s="100" t="s">
        <v>426</v>
      </c>
    </row>
    <row r="6" spans="1:6" x14ac:dyDescent="0.25">
      <c r="B6" t="s">
        <v>428</v>
      </c>
      <c r="F6" s="100" t="s">
        <v>426</v>
      </c>
    </row>
    <row r="7" spans="1:6" x14ac:dyDescent="0.25">
      <c r="B7" t="s">
        <v>429</v>
      </c>
      <c r="F7" s="100" t="s">
        <v>426</v>
      </c>
    </row>
    <row r="8" spans="1:6" x14ac:dyDescent="0.25">
      <c r="B8" t="s">
        <v>430</v>
      </c>
      <c r="F8" s="100" t="s">
        <v>426</v>
      </c>
    </row>
    <row r="9" spans="1:6" x14ac:dyDescent="0.25">
      <c r="B9" t="s">
        <v>431</v>
      </c>
    </row>
    <row r="10" spans="1:6" x14ac:dyDescent="0.25">
      <c r="B10" t="s">
        <v>432</v>
      </c>
    </row>
    <row r="11" spans="1:6" x14ac:dyDescent="0.25">
      <c r="B11" t="s">
        <v>433</v>
      </c>
    </row>
    <row r="12" spans="1:6" x14ac:dyDescent="0.25">
      <c r="B12" t="s">
        <v>52</v>
      </c>
    </row>
    <row r="13" spans="1:6" x14ac:dyDescent="0.25">
      <c r="B13" t="s">
        <v>434</v>
      </c>
    </row>
    <row r="14" spans="1:6" x14ac:dyDescent="0.25">
      <c r="B14" t="s">
        <v>435</v>
      </c>
    </row>
    <row r="15" spans="1:6" x14ac:dyDescent="0.25">
      <c r="B15" t="s">
        <v>436</v>
      </c>
    </row>
    <row r="17" spans="2:2" x14ac:dyDescent="0.25">
      <c r="B17" t="s">
        <v>437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D5B6B-E499-474C-A1DB-DEF1FE29B8E8}">
  <dimension ref="A2:H27"/>
  <sheetViews>
    <sheetView workbookViewId="0">
      <selection activeCell="D7" sqref="D7"/>
    </sheetView>
  </sheetViews>
  <sheetFormatPr defaultRowHeight="15" x14ac:dyDescent="0.25"/>
  <cols>
    <col min="2" max="2" width="12" bestFit="1" customWidth="1"/>
    <col min="4" max="4" width="11" bestFit="1" customWidth="1"/>
  </cols>
  <sheetData>
    <row r="2" spans="1:8" x14ac:dyDescent="0.25">
      <c r="A2" t="s">
        <v>277</v>
      </c>
      <c r="B2" s="102">
        <f>'Quantifier Work Req'!E3</f>
        <v>88888888</v>
      </c>
      <c r="C2" s="273" t="s">
        <v>291</v>
      </c>
      <c r="D2" s="273"/>
      <c r="E2" s="273"/>
    </row>
    <row r="3" spans="1:8" x14ac:dyDescent="0.25">
      <c r="D3" s="40" t="s">
        <v>406</v>
      </c>
    </row>
    <row r="4" spans="1:8" x14ac:dyDescent="0.25">
      <c r="B4" t="s">
        <v>203</v>
      </c>
      <c r="D4" t="s">
        <v>403</v>
      </c>
      <c r="H4" s="100" t="s">
        <v>404</v>
      </c>
    </row>
    <row r="5" spans="1:8" x14ac:dyDescent="0.25">
      <c r="B5" t="s">
        <v>405</v>
      </c>
      <c r="H5" s="100" t="s">
        <v>404</v>
      </c>
    </row>
    <row r="6" spans="1:8" x14ac:dyDescent="0.25">
      <c r="B6" t="s">
        <v>216</v>
      </c>
      <c r="H6" s="100" t="s">
        <v>404</v>
      </c>
    </row>
    <row r="7" spans="1:8" x14ac:dyDescent="0.25">
      <c r="B7" t="s">
        <v>407</v>
      </c>
      <c r="H7" s="100" t="s">
        <v>404</v>
      </c>
    </row>
    <row r="8" spans="1:8" x14ac:dyDescent="0.25">
      <c r="B8" t="s">
        <v>408</v>
      </c>
      <c r="H8" s="100" t="s">
        <v>404</v>
      </c>
    </row>
    <row r="9" spans="1:8" x14ac:dyDescent="0.25">
      <c r="B9" t="s">
        <v>223</v>
      </c>
      <c r="H9" s="100" t="s">
        <v>404</v>
      </c>
    </row>
    <row r="10" spans="1:8" x14ac:dyDescent="0.25">
      <c r="B10" t="s">
        <v>214</v>
      </c>
      <c r="H10" s="100" t="s">
        <v>404</v>
      </c>
    </row>
    <row r="11" spans="1:8" x14ac:dyDescent="0.25">
      <c r="B11" t="s">
        <v>409</v>
      </c>
      <c r="H11" s="100" t="s">
        <v>404</v>
      </c>
    </row>
    <row r="12" spans="1:8" x14ac:dyDescent="0.25">
      <c r="B12" t="s">
        <v>410</v>
      </c>
      <c r="H12" s="100" t="s">
        <v>404</v>
      </c>
    </row>
    <row r="13" spans="1:8" x14ac:dyDescent="0.25">
      <c r="B13" t="s">
        <v>220</v>
      </c>
      <c r="H13" s="100" t="s">
        <v>404</v>
      </c>
    </row>
    <row r="14" spans="1:8" x14ac:dyDescent="0.25">
      <c r="B14" t="s">
        <v>411</v>
      </c>
      <c r="H14" s="100" t="s">
        <v>404</v>
      </c>
    </row>
    <row r="15" spans="1:8" x14ac:dyDescent="0.25">
      <c r="H15" s="100" t="s">
        <v>404</v>
      </c>
    </row>
    <row r="16" spans="1:8" x14ac:dyDescent="0.25">
      <c r="B16" t="s">
        <v>412</v>
      </c>
      <c r="H16" s="100" t="s">
        <v>404</v>
      </c>
    </row>
    <row r="17" spans="2:8" x14ac:dyDescent="0.25">
      <c r="B17" s="27"/>
      <c r="C17" s="27"/>
      <c r="D17" s="27"/>
      <c r="E17" s="27"/>
      <c r="F17" s="27"/>
      <c r="G17" s="27"/>
      <c r="H17" s="100" t="s">
        <v>404</v>
      </c>
    </row>
    <row r="18" spans="2:8" x14ac:dyDescent="0.25">
      <c r="B18" s="27"/>
      <c r="C18" s="27"/>
      <c r="D18" s="27"/>
      <c r="E18" s="27"/>
      <c r="F18" s="27"/>
      <c r="G18" s="27"/>
      <c r="H18" s="100" t="s">
        <v>404</v>
      </c>
    </row>
    <row r="19" spans="2:8" x14ac:dyDescent="0.25">
      <c r="B19" s="27"/>
      <c r="C19" s="27"/>
      <c r="D19" s="27"/>
      <c r="E19" s="27"/>
      <c r="F19" s="27"/>
      <c r="G19" s="27"/>
      <c r="H19" s="100" t="s">
        <v>404</v>
      </c>
    </row>
    <row r="20" spans="2:8" x14ac:dyDescent="0.25">
      <c r="B20" s="27"/>
      <c r="C20" s="27"/>
      <c r="D20" s="27"/>
      <c r="E20" s="27"/>
      <c r="F20" s="27"/>
      <c r="G20" s="27"/>
      <c r="H20" s="100" t="s">
        <v>404</v>
      </c>
    </row>
    <row r="21" spans="2:8" x14ac:dyDescent="0.25">
      <c r="B21" s="27"/>
      <c r="C21" s="27"/>
      <c r="D21" s="27"/>
      <c r="E21" s="27"/>
      <c r="F21" s="27"/>
      <c r="G21" s="27"/>
      <c r="H21" s="100" t="s">
        <v>404</v>
      </c>
    </row>
    <row r="22" spans="2:8" x14ac:dyDescent="0.25">
      <c r="B22" s="27"/>
      <c r="C22" s="27"/>
      <c r="D22" s="27"/>
      <c r="E22" s="27"/>
      <c r="F22" s="27"/>
      <c r="G22" s="27"/>
      <c r="H22" s="100" t="s">
        <v>404</v>
      </c>
    </row>
    <row r="23" spans="2:8" x14ac:dyDescent="0.25">
      <c r="H23" s="100" t="s">
        <v>404</v>
      </c>
    </row>
    <row r="24" spans="2:8" x14ac:dyDescent="0.25">
      <c r="B24" s="40"/>
      <c r="C24" s="273" t="s">
        <v>295</v>
      </c>
      <c r="D24" s="273"/>
      <c r="E24" s="273"/>
      <c r="H24" s="100"/>
    </row>
    <row r="25" spans="2:8" x14ac:dyDescent="0.25">
      <c r="B25" s="40" t="s">
        <v>415</v>
      </c>
      <c r="C25" t="s">
        <v>350</v>
      </c>
      <c r="H25" s="100" t="s">
        <v>416</v>
      </c>
    </row>
    <row r="26" spans="2:8" x14ac:dyDescent="0.25">
      <c r="B26" s="40" t="s">
        <v>415</v>
      </c>
      <c r="C26" t="s">
        <v>413</v>
      </c>
      <c r="H26" s="100" t="s">
        <v>416</v>
      </c>
    </row>
    <row r="27" spans="2:8" x14ac:dyDescent="0.25">
      <c r="B27" s="40" t="s">
        <v>415</v>
      </c>
      <c r="C27" t="s">
        <v>414</v>
      </c>
      <c r="H27" s="100" t="s">
        <v>416</v>
      </c>
    </row>
  </sheetData>
  <mergeCells count="2">
    <mergeCell ref="C2:E2"/>
    <mergeCell ref="C24:E2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7FBE1-0DD5-4041-B776-0B88D6BAE87D}">
  <dimension ref="A2:C15"/>
  <sheetViews>
    <sheetView workbookViewId="0">
      <selection activeCell="C16" sqref="C16"/>
    </sheetView>
  </sheetViews>
  <sheetFormatPr defaultRowHeight="15" x14ac:dyDescent="0.25"/>
  <cols>
    <col min="2" max="2" width="23.42578125" bestFit="1" customWidth="1"/>
    <col min="3" max="3" width="24.85546875" bestFit="1" customWidth="1"/>
  </cols>
  <sheetData>
    <row r="2" spans="1:3" x14ac:dyDescent="0.25">
      <c r="A2" t="s">
        <v>296</v>
      </c>
      <c r="B2" t="s">
        <v>283</v>
      </c>
    </row>
    <row r="3" spans="1:3" x14ac:dyDescent="0.25">
      <c r="A3" t="s">
        <v>296</v>
      </c>
      <c r="B3" t="s">
        <v>284</v>
      </c>
    </row>
    <row r="4" spans="1:3" x14ac:dyDescent="0.25">
      <c r="A4" t="s">
        <v>296</v>
      </c>
      <c r="B4" t="s">
        <v>288</v>
      </c>
    </row>
    <row r="5" spans="1:3" x14ac:dyDescent="0.25">
      <c r="A5" t="s">
        <v>296</v>
      </c>
      <c r="B5" t="s">
        <v>285</v>
      </c>
      <c r="C5" t="s">
        <v>286</v>
      </c>
    </row>
    <row r="6" spans="1:3" x14ac:dyDescent="0.25">
      <c r="A6" t="s">
        <v>296</v>
      </c>
      <c r="B6" t="s">
        <v>287</v>
      </c>
    </row>
    <row r="7" spans="1:3" x14ac:dyDescent="0.25">
      <c r="A7" t="s">
        <v>296</v>
      </c>
      <c r="B7" t="s">
        <v>289</v>
      </c>
    </row>
    <row r="8" spans="1:3" x14ac:dyDescent="0.25">
      <c r="A8" t="s">
        <v>296</v>
      </c>
      <c r="B8" t="s">
        <v>290</v>
      </c>
    </row>
    <row r="9" spans="1:3" x14ac:dyDescent="0.25">
      <c r="A9" t="s">
        <v>296</v>
      </c>
      <c r="B9" t="s">
        <v>291</v>
      </c>
    </row>
    <row r="10" spans="1:3" x14ac:dyDescent="0.25">
      <c r="A10" t="s">
        <v>296</v>
      </c>
      <c r="B10" t="s">
        <v>292</v>
      </c>
    </row>
    <row r="11" spans="1:3" x14ac:dyDescent="0.25">
      <c r="A11" t="s">
        <v>296</v>
      </c>
      <c r="B11" t="s">
        <v>294</v>
      </c>
    </row>
    <row r="12" spans="1:3" x14ac:dyDescent="0.25">
      <c r="A12" t="s">
        <v>296</v>
      </c>
      <c r="B12" t="s">
        <v>293</v>
      </c>
    </row>
    <row r="13" spans="1:3" x14ac:dyDescent="0.25">
      <c r="A13" t="s">
        <v>296</v>
      </c>
      <c r="B13" t="s">
        <v>295</v>
      </c>
    </row>
    <row r="14" spans="1:3" x14ac:dyDescent="0.25">
      <c r="A14" t="s">
        <v>296</v>
      </c>
      <c r="B14" t="s">
        <v>417</v>
      </c>
      <c r="C14" t="s">
        <v>418</v>
      </c>
    </row>
    <row r="15" spans="1:3" x14ac:dyDescent="0.25">
      <c r="A15" t="s">
        <v>296</v>
      </c>
      <c r="B15" t="s">
        <v>291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Quantifier Work Req</vt:lpstr>
      <vt:lpstr>Cover</vt:lpstr>
      <vt:lpstr>Price Notifications</vt:lpstr>
      <vt:lpstr>Cover Letter</vt:lpstr>
      <vt:lpstr>Taupo Cover Letter</vt:lpstr>
      <vt:lpstr>Dayle PN</vt:lpstr>
      <vt:lpstr>Dayle Control</vt:lpstr>
      <vt:lpstr>NTML PN</vt:lpstr>
      <vt:lpstr>NTML Control</vt:lpstr>
      <vt:lpstr>T &amp; C</vt:lpstr>
      <vt:lpstr>Acceptance</vt:lpstr>
      <vt:lpstr>outsource</vt:lpstr>
      <vt:lpstr>GANTT</vt:lpstr>
      <vt:lpstr>Scope</vt:lpstr>
      <vt:lpstr>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Tiria</dc:creator>
  <cp:lastModifiedBy>Juan Garcia</cp:lastModifiedBy>
  <cp:lastPrinted>2022-08-09T02:20:24Z</cp:lastPrinted>
  <dcterms:created xsi:type="dcterms:W3CDTF">2022-07-14T01:50:14Z</dcterms:created>
  <dcterms:modified xsi:type="dcterms:W3CDTF">2022-09-12T22:12:38Z</dcterms:modified>
</cp:coreProperties>
</file>